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es" sheetId="1" state="visible" r:id="rId3"/>
    <sheet name="Vluchtlog" sheetId="2" state="visible" r:id="rId4"/>
    <sheet name="Samenvatt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<sst xmlns="http://schemas.openxmlformats.org/spreadsheetml/2006/main" count="60" uniqueCount="57">
  <si>
    <t xml:space="preserve">Waterraket PWS – Meet- en logsheets</t>
  </si>
  <si>
    <t xml:space="preserve">Vul per lancering één regel in op het tabblad 'Vluchtlog'. Blauwe kolommen typ je zelf; de hoogte wordt automatisch berekend.</t>
  </si>
  <si>
    <t xml:space="preserve">Werkwijze</t>
  </si>
  <si>
    <t xml:space="preserve">1.</t>
  </si>
  <si>
    <t xml:space="preserve">Varieer steeds één factor; houd de rest gelijk. Geef elke meetreeks een korte 'Serie-tag' (bv. nozzle-6mm).</t>
  </si>
  <si>
    <t xml:space="preserve">2.</t>
  </si>
  <si>
    <t xml:space="preserve">Lanceer minimaal 3–5 keer per instelling en log elke vlucht apart.</t>
  </si>
  <si>
    <t xml:space="preserve">3.</t>
  </si>
  <si>
    <t xml:space="preserve">Noteer hoek θ (op het hoogste punt), afstand L en ooghoogte; de kolom 'Hoogte (trig)' rekent het uit.</t>
  </si>
  <si>
    <t xml:space="preserve">4.</t>
  </si>
  <si>
    <t xml:space="preserve">Meet ter controle ook de tijd tot het hoogste punt (t_op); de kolom 'Hoogte (tijd)' geeft een tweede schatting.</t>
  </si>
  <si>
    <t xml:space="preserve">5.</t>
  </si>
  <si>
    <t xml:space="preserve">Markeer of de vlucht stabiel was en of hij geldig is (geen lek/misser).</t>
  </si>
  <si>
    <t xml:space="preserve">6.</t>
  </si>
  <si>
    <t xml:space="preserve">Op tabblad 'Samenvatting' typ je je serie-tags; gemiddelde, spreiding en aantal verschijnen automatisch.</t>
  </si>
  <si>
    <t xml:space="preserve">Gebruikte formules</t>
  </si>
  <si>
    <t xml:space="preserve">Hoogte (trig)</t>
  </si>
  <si>
    <t xml:space="preserve">h = L · tan(θ) + ooghoogte</t>
  </si>
  <si>
    <t xml:space="preserve">Hoogte (tijd)</t>
  </si>
  <si>
    <t xml:space="preserve">h ≈ ½ · g · t_op²   (g = 9,81 m/s²; onderschat door luchtweerstand)</t>
  </si>
  <si>
    <t xml:space="preserve">Spreiding</t>
  </si>
  <si>
    <t xml:space="preserve">Standaardafwijking over de geldige vluchten van een serie.</t>
  </si>
  <si>
    <t xml:space="preserve">Veiligheid (kort)</t>
  </si>
  <si>
    <t xml:space="preserve">•</t>
  </si>
  <si>
    <t xml:space="preserve">Alleen frisdrank-PET-flessen; begin laag (3–4 bar), niet boven ~7 bar.</t>
  </si>
  <si>
    <t xml:space="preserve">Minimaal 5–10 m afstand, lanceren via touw, veiligheidsbril, nooit op mensen richten.</t>
  </si>
  <si>
    <t xml:space="preserve">3D-geprinte drukdelen eerst vol water achter een afscherming testen.</t>
  </si>
  <si>
    <t xml:space="preserve">Vluchtlog</t>
  </si>
  <si>
    <t xml:space="preserve">Blauw = zelf invullen   ·   Zwart = automatisch berekend</t>
  </si>
  <si>
    <t xml:space="preserve">Vlucht #</t>
  </si>
  <si>
    <t xml:space="preserve">Datum</t>
  </si>
  <si>
    <t xml:space="preserve">Model</t>
  </si>
  <si>
    <t xml:space="preserve">Factor onderzocht</t>
  </si>
  <si>
    <t xml:space="preserve">Serie-tag</t>
  </si>
  <si>
    <t xml:space="preserve">Vulfractie (%)</t>
  </si>
  <si>
    <t xml:space="preserve">Begindruk (bar)</t>
  </si>
  <si>
    <t xml:space="preserve">Nozzle Ø (mm)</t>
  </si>
  <si>
    <t xml:space="preserve">Extra massa (g)</t>
  </si>
  <si>
    <t xml:space="preserve">Vinnen (aantal/maat)</t>
  </si>
  <si>
    <t xml:space="preserve">Lanceerhoek (°)</t>
  </si>
  <si>
    <t xml:space="preserve">Afstand L (m)</t>
  </si>
  <si>
    <t xml:space="preserve">Hoek θ (°)</t>
  </si>
  <si>
    <t xml:space="preserve">Ooghoogte (m)</t>
  </si>
  <si>
    <t xml:space="preserve">Hoogte trig (m)</t>
  </si>
  <si>
    <t xml:space="preserve">Tijd t_op (s)</t>
  </si>
  <si>
    <t xml:space="preserve">Hoogte tijd (m)</t>
  </si>
  <si>
    <t xml:space="preserve">Stabiel?</t>
  </si>
  <si>
    <t xml:space="preserve">Geldig?</t>
  </si>
  <si>
    <t xml:space="preserve">Opmerkingen</t>
  </si>
  <si>
    <t xml:space="preserve">h² (hulp)</t>
  </si>
  <si>
    <t xml:space="preserve">Samenvatting per meetreeks</t>
  </si>
  <si>
    <t xml:space="preserve">Typ links de serie-tags die je in de Vluchtlog hebt gebruikt; de rest rekent automatisch (alleen geldige vluchten meetellen kun je doen door foute regels leeg te laten).</t>
  </si>
  <si>
    <t xml:space="preserve">Gemiddelde hoogte (m)</t>
  </si>
  <si>
    <t xml:space="preserve">Spreiding SD (m)</t>
  </si>
  <si>
    <t xml:space="preserve">Aantal n</t>
  </si>
  <si>
    <t xml:space="preserve">Min (m)</t>
  </si>
  <si>
    <t xml:space="preserve">Max (m)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</si>
</sst>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6FB2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6FB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B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1F6FB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 t="s">
        <v>9</v>
      </c>
      <c r="B9" s="4" t="s">
        <v>10</v>
      </c>
    </row>
    <row r="10" customFormat="false" ht="1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/>
      <c r="B12" s="4"/>
    </row>
    <row r="13" customFormat="false" ht="15" hidden="false" customHeight="false" outlineLevel="0" collapsed="false">
      <c r="A13" s="5" t="s">
        <v>15</v>
      </c>
      <c r="B13" s="4"/>
    </row>
    <row r="14" customFormat="false" ht="15" hidden="false" customHeight="false" outlineLevel="0" collapsed="false">
      <c r="A14" s="6" t="s">
        <v>16</v>
      </c>
      <c r="B14" s="4" t="s">
        <v>17</v>
      </c>
    </row>
    <row r="15" customFormat="false" ht="15" hidden="false" customHeight="false" outlineLevel="0" collapsed="false">
      <c r="A15" s="6" t="s">
        <v>18</v>
      </c>
      <c r="B15" s="4" t="s">
        <v>19</v>
      </c>
    </row>
    <row r="16" customFormat="false" ht="15" hidden="false" customHeight="false" outlineLevel="0" collapsed="false">
      <c r="A16" s="6" t="s">
        <v>20</v>
      </c>
      <c r="B16" s="4" t="s">
        <v>21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22</v>
      </c>
      <c r="B18" s="4"/>
    </row>
    <row r="19" customFormat="false" ht="15" hidden="false" customHeight="false" outlineLevel="0" collapsed="false">
      <c r="A19" s="3" t="s">
        <v>23</v>
      </c>
      <c r="B19" s="4" t="s">
        <v>24</v>
      </c>
    </row>
    <row r="20" customFormat="false" ht="15" hidden="false" customHeight="false" outlineLevel="0" collapsed="false">
      <c r="A20" s="3" t="s">
        <v>23</v>
      </c>
      <c r="B20" s="4" t="s">
        <v>25</v>
      </c>
    </row>
    <row r="21" customFormat="false" ht="15" hidden="false" customHeight="false" outlineLevel="0" collapsed="false">
      <c r="A21" s="3" t="s">
        <v>23</v>
      </c>
      <c r="B21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3"/>
    <col collapsed="false" customWidth="true" hidden="false" outlineLevel="0" max="18" min="18" style="0" width="28"/>
    <col collapsed="false" customWidth="true" hidden="false" outlineLevel="0" max="20" min="19" style="0" width="8"/>
    <col collapsed="false" customWidth="true" hidden="true" outlineLevel="0" max="21" min="21" style="0" width="13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23.85" hidden="false" customHeight="false" outlineLevel="0" collapsed="false">
      <c r="A4" s="7" t="s">
        <v>29</v>
      </c>
      <c r="B4" s="7" t="s">
        <v>30</v>
      </c>
      <c r="C4" s="7" t="s">
        <v>31</v>
      </c>
      <c r="D4" s="7" t="s">
        <v>32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37</v>
      </c>
      <c r="J4" s="7" t="s">
        <v>38</v>
      </c>
      <c r="K4" s="7" t="s">
        <v>39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47</v>
      </c>
      <c r="T4" s="7" t="s">
        <v>48</v>
      </c>
      <c r="U4" s="7" t="s">
        <v>49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9"/>
      <c r="G5" s="10"/>
      <c r="H5" s="10"/>
      <c r="I5" s="8"/>
      <c r="J5" s="8"/>
      <c r="K5" s="9"/>
      <c r="L5" s="10"/>
      <c r="M5" s="10"/>
      <c r="N5" s="11"/>
      <c r="O5" s="12" t="str">
        <f aca="false">IF(AND(L5&lt;&gt;"",M5&lt;&gt;""),L5*TAN(RADIANS(M5))+IF(N5&lt;&gt;"",N5,0),"")</f>
        <v/>
      </c>
      <c r="P5" s="11"/>
      <c r="Q5" s="12" t="str">
        <f aca="false">IF(P5&lt;&gt;"",0.5*9.81*P5^2,"")</f>
        <v/>
      </c>
      <c r="R5" s="8"/>
      <c r="S5" s="8"/>
      <c r="T5" s="8"/>
      <c r="U5" s="12" t="str">
        <f aca="false">IF(O5&lt;&gt;"",O5^2,"")</f>
        <v/>
      </c>
    </row>
    <row r="6" customFormat="false" ht="15" hidden="false" customHeight="false" outlineLevel="0" collapsed="false">
      <c r="A6" s="8"/>
      <c r="B6" s="8"/>
      <c r="C6" s="8"/>
      <c r="D6" s="8"/>
      <c r="E6" s="8"/>
      <c r="F6" s="9"/>
      <c r="G6" s="10"/>
      <c r="H6" s="10"/>
      <c r="I6" s="8"/>
      <c r="J6" s="8"/>
      <c r="K6" s="9"/>
      <c r="L6" s="10"/>
      <c r="M6" s="10"/>
      <c r="N6" s="11"/>
      <c r="O6" s="12" t="str">
        <f aca="false">IF(AND(L6&lt;&gt;"",M6&lt;&gt;""),L6*TAN(RADIANS(M6))+IF(N6&lt;&gt;"",N6,0),"")</f>
        <v/>
      </c>
      <c r="P6" s="11"/>
      <c r="Q6" s="12" t="str">
        <f aca="false">IF(P6&lt;&gt;"",0.5*9.81*P6^2,"")</f>
        <v/>
      </c>
      <c r="R6" s="8"/>
      <c r="S6" s="8"/>
      <c r="T6" s="8"/>
      <c r="U6" s="12" t="str">
        <f aca="false">IF(O6&lt;&gt;"",O6^2,"")</f>
        <v/>
      </c>
    </row>
    <row r="7" customFormat="false" ht="15" hidden="false" customHeight="false" outlineLevel="0" collapsed="false">
      <c r="A7" s="8"/>
      <c r="B7" s="8"/>
      <c r="C7" s="8"/>
      <c r="D7" s="8"/>
      <c r="E7" s="8"/>
      <c r="F7" s="9"/>
      <c r="G7" s="10"/>
      <c r="H7" s="10"/>
      <c r="I7" s="8"/>
      <c r="J7" s="8"/>
      <c r="K7" s="9"/>
      <c r="L7" s="10"/>
      <c r="M7" s="10"/>
      <c r="N7" s="11"/>
      <c r="O7" s="12" t="str">
        <f aca="false">IF(AND(L7&lt;&gt;"",M7&lt;&gt;""),L7*TAN(RADIANS(M7))+IF(N7&lt;&gt;"",N7,0),"")</f>
        <v/>
      </c>
      <c r="P7" s="11"/>
      <c r="Q7" s="12" t="str">
        <f aca="false">IF(P7&lt;&gt;"",0.5*9.81*P7^2,"")</f>
        <v/>
      </c>
      <c r="R7" s="8"/>
      <c r="S7" s="8"/>
      <c r="T7" s="8"/>
      <c r="U7" s="12" t="str">
        <f aca="false">IF(O7&lt;&gt;"",O7^2,"")</f>
        <v/>
      </c>
    </row>
    <row r="8" customFormat="false" ht="15" hidden="false" customHeight="false" outlineLevel="0" collapsed="false">
      <c r="A8" s="8"/>
      <c r="B8" s="8"/>
      <c r="C8" s="8"/>
      <c r="D8" s="8"/>
      <c r="E8" s="8"/>
      <c r="F8" s="9"/>
      <c r="G8" s="10"/>
      <c r="H8" s="10"/>
      <c r="I8" s="8"/>
      <c r="J8" s="8"/>
      <c r="K8" s="9"/>
      <c r="L8" s="10"/>
      <c r="M8" s="10"/>
      <c r="N8" s="11"/>
      <c r="O8" s="12" t="str">
        <f aca="false">IF(AND(L8&lt;&gt;"",M8&lt;&gt;""),L8*TAN(RADIANS(M8))+IF(N8&lt;&gt;"",N8,0),"")</f>
        <v/>
      </c>
      <c r="P8" s="11"/>
      <c r="Q8" s="12" t="str">
        <f aca="false">IF(P8&lt;&gt;"",0.5*9.81*P8^2,"")</f>
        <v/>
      </c>
      <c r="R8" s="8"/>
      <c r="S8" s="8"/>
      <c r="T8" s="8"/>
      <c r="U8" s="12" t="str">
        <f aca="false">IF(O8&lt;&gt;"",O8^2,"")</f>
        <v/>
      </c>
    </row>
    <row r="9" customFormat="false" ht="15" hidden="false" customHeight="false" outlineLevel="0" collapsed="false">
      <c r="A9" s="8"/>
      <c r="B9" s="8"/>
      <c r="C9" s="8"/>
      <c r="D9" s="8"/>
      <c r="E9" s="8"/>
      <c r="F9" s="9"/>
      <c r="G9" s="10"/>
      <c r="H9" s="10"/>
      <c r="I9" s="8"/>
      <c r="J9" s="8"/>
      <c r="K9" s="9"/>
      <c r="L9" s="10"/>
      <c r="M9" s="10"/>
      <c r="N9" s="11"/>
      <c r="O9" s="12" t="str">
        <f aca="false">IF(AND(L9&lt;&gt;"",M9&lt;&gt;""),L9*TAN(RADIANS(M9))+IF(N9&lt;&gt;"",N9,0),"")</f>
        <v/>
      </c>
      <c r="P9" s="11"/>
      <c r="Q9" s="12" t="str">
        <f aca="false">IF(P9&lt;&gt;"",0.5*9.81*P9^2,"")</f>
        <v/>
      </c>
      <c r="R9" s="8"/>
      <c r="S9" s="8"/>
      <c r="T9" s="8"/>
      <c r="U9" s="12" t="str">
        <f aca="false">IF(O9&lt;&gt;"",O9^2,"")</f>
        <v/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9"/>
      <c r="G10" s="10"/>
      <c r="H10" s="10"/>
      <c r="I10" s="8"/>
      <c r="J10" s="8"/>
      <c r="K10" s="9"/>
      <c r="L10" s="10"/>
      <c r="M10" s="10"/>
      <c r="N10" s="11"/>
      <c r="O10" s="12" t="str">
        <f aca="false">IF(AND(L10&lt;&gt;"",M10&lt;&gt;""),L10*TAN(RADIANS(M10))+IF(N10&lt;&gt;"",N10,0),"")</f>
        <v/>
      </c>
      <c r="P10" s="11"/>
      <c r="Q10" s="12" t="str">
        <f aca="false">IF(P10&lt;&gt;"",0.5*9.81*P10^2,"")</f>
        <v/>
      </c>
      <c r="R10" s="8"/>
      <c r="S10" s="8"/>
      <c r="T10" s="8"/>
      <c r="U10" s="12" t="str">
        <f aca="false">IF(O10&lt;&gt;"",O10^2,"")</f>
        <v/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9"/>
      <c r="G11" s="10"/>
      <c r="H11" s="10"/>
      <c r="I11" s="8"/>
      <c r="J11" s="8"/>
      <c r="K11" s="9"/>
      <c r="L11" s="10"/>
      <c r="M11" s="10"/>
      <c r="N11" s="11"/>
      <c r="O11" s="12" t="str">
        <f aca="false">IF(AND(L11&lt;&gt;"",M11&lt;&gt;""),L11*TAN(RADIANS(M11))+IF(N11&lt;&gt;"",N11,0),"")</f>
        <v/>
      </c>
      <c r="P11" s="11"/>
      <c r="Q11" s="12" t="str">
        <f aca="false">IF(P11&lt;&gt;"",0.5*9.81*P11^2,"")</f>
        <v/>
      </c>
      <c r="R11" s="8"/>
      <c r="S11" s="8"/>
      <c r="T11" s="8"/>
      <c r="U11" s="12" t="str">
        <f aca="false">IF(O11&lt;&gt;"",O11^2,"")</f>
        <v/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9"/>
      <c r="G12" s="10"/>
      <c r="H12" s="10"/>
      <c r="I12" s="8"/>
      <c r="J12" s="8"/>
      <c r="K12" s="9"/>
      <c r="L12" s="10"/>
      <c r="M12" s="10"/>
      <c r="N12" s="11"/>
      <c r="O12" s="12" t="str">
        <f aca="false">IF(AND(L12&lt;&gt;"",M12&lt;&gt;""),L12*TAN(RADIANS(M12))+IF(N12&lt;&gt;"",N12,0),"")</f>
        <v/>
      </c>
      <c r="P12" s="11"/>
      <c r="Q12" s="12" t="str">
        <f aca="false">IF(P12&lt;&gt;"",0.5*9.81*P12^2,"")</f>
        <v/>
      </c>
      <c r="R12" s="8"/>
      <c r="S12" s="8"/>
      <c r="T12" s="8"/>
      <c r="U12" s="12" t="str">
        <f aca="false">IF(O12&lt;&gt;"",O12^2,"")</f>
        <v/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s="9"/>
      <c r="G13" s="10"/>
      <c r="H13" s="10"/>
      <c r="I13" s="8"/>
      <c r="J13" s="8"/>
      <c r="K13" s="9"/>
      <c r="L13" s="10"/>
      <c r="M13" s="10"/>
      <c r="N13" s="11"/>
      <c r="O13" s="12" t="str">
        <f aca="false">IF(AND(L13&lt;&gt;"",M13&lt;&gt;""),L13*TAN(RADIANS(M13))+IF(N13&lt;&gt;"",N13,0),"")</f>
        <v/>
      </c>
      <c r="P13" s="11"/>
      <c r="Q13" s="12" t="str">
        <f aca="false">IF(P13&lt;&gt;"",0.5*9.81*P13^2,"")</f>
        <v/>
      </c>
      <c r="R13" s="8"/>
      <c r="S13" s="8"/>
      <c r="T13" s="8"/>
      <c r="U13" s="12" t="str">
        <f aca="false">IF(O13&lt;&gt;"",O13^2,"")</f>
        <v/>
      </c>
    </row>
    <row r="14" customFormat="false" ht="15" hidden="false" customHeight="false" outlineLevel="0" collapsed="false">
      <c r="A14" s="8"/>
      <c r="B14" s="8"/>
      <c r="C14" s="8"/>
      <c r="D14" s="8"/>
      <c r="E14" s="8"/>
      <c r="F14" s="9"/>
      <c r="G14" s="10"/>
      <c r="H14" s="10"/>
      <c r="I14" s="8"/>
      <c r="J14" s="8"/>
      <c r="K14" s="9"/>
      <c r="L14" s="10"/>
      <c r="M14" s="10"/>
      <c r="N14" s="11"/>
      <c r="O14" s="12" t="str">
        <f aca="false">IF(AND(L14&lt;&gt;"",M14&lt;&gt;""),L14*TAN(RADIANS(M14))+IF(N14&lt;&gt;"",N14,0),"")</f>
        <v/>
      </c>
      <c r="P14" s="11"/>
      <c r="Q14" s="12" t="str">
        <f aca="false">IF(P14&lt;&gt;"",0.5*9.81*P14^2,"")</f>
        <v/>
      </c>
      <c r="R14" s="8"/>
      <c r="S14" s="8"/>
      <c r="T14" s="8"/>
      <c r="U14" s="12" t="str">
        <f aca="false">IF(O14&lt;&gt;"",O14^2,"")</f>
        <v/>
      </c>
    </row>
    <row r="15" customFormat="false" ht="15" hidden="false" customHeight="false" outlineLevel="0" collapsed="false">
      <c r="A15" s="8"/>
      <c r="B15" s="8"/>
      <c r="C15" s="8"/>
      <c r="D15" s="8"/>
      <c r="E15" s="8"/>
      <c r="F15" s="9"/>
      <c r="G15" s="10"/>
      <c r="H15" s="10"/>
      <c r="I15" s="8"/>
      <c r="J15" s="8"/>
      <c r="K15" s="9"/>
      <c r="L15" s="10"/>
      <c r="M15" s="10"/>
      <c r="N15" s="11"/>
      <c r="O15" s="12" t="str">
        <f aca="false">IF(AND(L15&lt;&gt;"",M15&lt;&gt;""),L15*TAN(RADIANS(M15))+IF(N15&lt;&gt;"",N15,0),"")</f>
        <v/>
      </c>
      <c r="P15" s="11"/>
      <c r="Q15" s="12" t="str">
        <f aca="false">IF(P15&lt;&gt;"",0.5*9.81*P15^2,"")</f>
        <v/>
      </c>
      <c r="R15" s="8"/>
      <c r="S15" s="8"/>
      <c r="T15" s="8"/>
      <c r="U15" s="12" t="str">
        <f aca="false">IF(O15&lt;&gt;"",O15^2,"")</f>
        <v/>
      </c>
    </row>
    <row r="16" customFormat="false" ht="15" hidden="false" customHeight="false" outlineLevel="0" collapsed="false">
      <c r="A16" s="8"/>
      <c r="B16" s="8"/>
      <c r="C16" s="8"/>
      <c r="D16" s="8"/>
      <c r="E16" s="8"/>
      <c r="F16" s="9"/>
      <c r="G16" s="10"/>
      <c r="H16" s="10"/>
      <c r="I16" s="8"/>
      <c r="J16" s="8"/>
      <c r="K16" s="9"/>
      <c r="L16" s="10"/>
      <c r="M16" s="10"/>
      <c r="N16" s="11"/>
      <c r="O16" s="12" t="str">
        <f aca="false">IF(AND(L16&lt;&gt;"",M16&lt;&gt;""),L16*TAN(RADIANS(M16))+IF(N16&lt;&gt;"",N16,0),"")</f>
        <v/>
      </c>
      <c r="P16" s="11"/>
      <c r="Q16" s="12" t="str">
        <f aca="false">IF(P16&lt;&gt;"",0.5*9.81*P16^2,"")</f>
        <v/>
      </c>
      <c r="R16" s="8"/>
      <c r="S16" s="8"/>
      <c r="T16" s="8"/>
      <c r="U16" s="12" t="str">
        <f aca="false">IF(O16&lt;&gt;"",O16^2,"")</f>
        <v/>
      </c>
    </row>
    <row r="17" customFormat="false" ht="15" hidden="false" customHeight="false" outlineLevel="0" collapsed="false">
      <c r="A17" s="8"/>
      <c r="B17" s="8"/>
      <c r="C17" s="8"/>
      <c r="D17" s="8"/>
      <c r="E17" s="8"/>
      <c r="F17" s="9"/>
      <c r="G17" s="10"/>
      <c r="H17" s="10"/>
      <c r="I17" s="8"/>
      <c r="J17" s="8"/>
      <c r="K17" s="9"/>
      <c r="L17" s="10"/>
      <c r="M17" s="10"/>
      <c r="N17" s="11"/>
      <c r="O17" s="12" t="str">
        <f aca="false">IF(AND(L17&lt;&gt;"",M17&lt;&gt;""),L17*TAN(RADIANS(M17))+IF(N17&lt;&gt;"",N17,0),"")</f>
        <v/>
      </c>
      <c r="P17" s="11"/>
      <c r="Q17" s="12" t="str">
        <f aca="false">IF(P17&lt;&gt;"",0.5*9.81*P17^2,"")</f>
        <v/>
      </c>
      <c r="R17" s="8"/>
      <c r="S17" s="8"/>
      <c r="T17" s="8"/>
      <c r="U17" s="12" t="str">
        <f aca="false">IF(O17&lt;&gt;"",O17^2,"")</f>
        <v/>
      </c>
    </row>
    <row r="18" customFormat="false" ht="15" hidden="false" customHeight="false" outlineLevel="0" collapsed="false">
      <c r="A18" s="8"/>
      <c r="B18" s="8"/>
      <c r="C18" s="8"/>
      <c r="D18" s="8"/>
      <c r="E18" s="8"/>
      <c r="F18" s="9"/>
      <c r="G18" s="10"/>
      <c r="H18" s="10"/>
      <c r="I18" s="8"/>
      <c r="J18" s="8"/>
      <c r="K18" s="9"/>
      <c r="L18" s="10"/>
      <c r="M18" s="10"/>
      <c r="N18" s="11"/>
      <c r="O18" s="12" t="str">
        <f aca="false">IF(AND(L18&lt;&gt;"",M18&lt;&gt;""),L18*TAN(RADIANS(M18))+IF(N18&lt;&gt;"",N18,0),"")</f>
        <v/>
      </c>
      <c r="P18" s="11"/>
      <c r="Q18" s="12" t="str">
        <f aca="false">IF(P18&lt;&gt;"",0.5*9.81*P18^2,"")</f>
        <v/>
      </c>
      <c r="R18" s="8"/>
      <c r="S18" s="8"/>
      <c r="T18" s="8"/>
      <c r="U18" s="12" t="str">
        <f aca="false">IF(O18&lt;&gt;"",O18^2,"")</f>
        <v/>
      </c>
    </row>
    <row r="19" customFormat="false" ht="15" hidden="false" customHeight="false" outlineLevel="0" collapsed="false">
      <c r="A19" s="8"/>
      <c r="B19" s="8"/>
      <c r="C19" s="8"/>
      <c r="D19" s="8"/>
      <c r="E19" s="8"/>
      <c r="F19" s="9"/>
      <c r="G19" s="10"/>
      <c r="H19" s="10"/>
      <c r="I19" s="8"/>
      <c r="J19" s="8"/>
      <c r="K19" s="9"/>
      <c r="L19" s="10"/>
      <c r="M19" s="10"/>
      <c r="N19" s="11"/>
      <c r="O19" s="12" t="str">
        <f aca="false">IF(AND(L19&lt;&gt;"",M19&lt;&gt;""),L19*TAN(RADIANS(M19))+IF(N19&lt;&gt;"",N19,0),"")</f>
        <v/>
      </c>
      <c r="P19" s="11"/>
      <c r="Q19" s="12" t="str">
        <f aca="false">IF(P19&lt;&gt;"",0.5*9.81*P19^2,"")</f>
        <v/>
      </c>
      <c r="R19" s="8"/>
      <c r="S19" s="8"/>
      <c r="T19" s="8"/>
      <c r="U19" s="12" t="str">
        <f aca="false">IF(O19&lt;&gt;"",O19^2,"")</f>
        <v/>
      </c>
    </row>
    <row r="20" customFormat="false" ht="15" hidden="false" customHeight="false" outlineLevel="0" collapsed="false">
      <c r="A20" s="8"/>
      <c r="B20" s="8"/>
      <c r="C20" s="8"/>
      <c r="D20" s="8"/>
      <c r="E20" s="8"/>
      <c r="F20" s="9"/>
      <c r="G20" s="10"/>
      <c r="H20" s="10"/>
      <c r="I20" s="8"/>
      <c r="J20" s="8"/>
      <c r="K20" s="9"/>
      <c r="L20" s="10"/>
      <c r="M20" s="10"/>
      <c r="N20" s="11"/>
      <c r="O20" s="12" t="str">
        <f aca="false">IF(AND(L20&lt;&gt;"",M20&lt;&gt;""),L20*TAN(RADIANS(M20))+IF(N20&lt;&gt;"",N20,0),"")</f>
        <v/>
      </c>
      <c r="P20" s="11"/>
      <c r="Q20" s="12" t="str">
        <f aca="false">IF(P20&lt;&gt;"",0.5*9.81*P20^2,"")</f>
        <v/>
      </c>
      <c r="R20" s="8"/>
      <c r="S20" s="8"/>
      <c r="T20" s="8"/>
      <c r="U20" s="12" t="str">
        <f aca="false">IF(O20&lt;&gt;"",O20^2,"")</f>
        <v/>
      </c>
    </row>
    <row r="21" customFormat="false" ht="15" hidden="false" customHeight="false" outlineLevel="0" collapsed="false">
      <c r="A21" s="8"/>
      <c r="B21" s="8"/>
      <c r="C21" s="8"/>
      <c r="D21" s="8"/>
      <c r="E21" s="8"/>
      <c r="F21" s="9"/>
      <c r="G21" s="10"/>
      <c r="H21" s="10"/>
      <c r="I21" s="8"/>
      <c r="J21" s="8"/>
      <c r="K21" s="9"/>
      <c r="L21" s="10"/>
      <c r="M21" s="10"/>
      <c r="N21" s="11"/>
      <c r="O21" s="12" t="str">
        <f aca="false">IF(AND(L21&lt;&gt;"",M21&lt;&gt;""),L21*TAN(RADIANS(M21))+IF(N21&lt;&gt;"",N21,0),"")</f>
        <v/>
      </c>
      <c r="P21" s="11"/>
      <c r="Q21" s="12" t="str">
        <f aca="false">IF(P21&lt;&gt;"",0.5*9.81*P21^2,"")</f>
        <v/>
      </c>
      <c r="R21" s="8"/>
      <c r="S21" s="8"/>
      <c r="T21" s="8"/>
      <c r="U21" s="12" t="str">
        <f aca="false">IF(O21&lt;&gt;"",O21^2,"")</f>
        <v/>
      </c>
    </row>
    <row r="22" customFormat="false" ht="15" hidden="false" customHeight="false" outlineLevel="0" collapsed="false">
      <c r="A22" s="8"/>
      <c r="B22" s="8"/>
      <c r="C22" s="8"/>
      <c r="D22" s="8"/>
      <c r="E22" s="8"/>
      <c r="F22" s="9"/>
      <c r="G22" s="10"/>
      <c r="H22" s="10"/>
      <c r="I22" s="8"/>
      <c r="J22" s="8"/>
      <c r="K22" s="9"/>
      <c r="L22" s="10"/>
      <c r="M22" s="10"/>
      <c r="N22" s="11"/>
      <c r="O22" s="12" t="str">
        <f aca="false">IF(AND(L22&lt;&gt;"",M22&lt;&gt;""),L22*TAN(RADIANS(M22))+IF(N22&lt;&gt;"",N22,0),"")</f>
        <v/>
      </c>
      <c r="P22" s="11"/>
      <c r="Q22" s="12" t="str">
        <f aca="false">IF(P22&lt;&gt;"",0.5*9.81*P22^2,"")</f>
        <v/>
      </c>
      <c r="R22" s="8"/>
      <c r="S22" s="8"/>
      <c r="T22" s="8"/>
      <c r="U22" s="12" t="str">
        <f aca="false">IF(O22&lt;&gt;"",O22^2,"")</f>
        <v/>
      </c>
    </row>
    <row r="23" customFormat="false" ht="15" hidden="false" customHeight="false" outlineLevel="0" collapsed="false">
      <c r="A23" s="8"/>
      <c r="B23" s="8"/>
      <c r="C23" s="8"/>
      <c r="D23" s="8"/>
      <c r="E23" s="8"/>
      <c r="F23" s="9"/>
      <c r="G23" s="10"/>
      <c r="H23" s="10"/>
      <c r="I23" s="8"/>
      <c r="J23" s="8"/>
      <c r="K23" s="9"/>
      <c r="L23" s="10"/>
      <c r="M23" s="10"/>
      <c r="N23" s="11"/>
      <c r="O23" s="12" t="str">
        <f aca="false">IF(AND(L23&lt;&gt;"",M23&lt;&gt;""),L23*TAN(RADIANS(M23))+IF(N23&lt;&gt;"",N23,0),"")</f>
        <v/>
      </c>
      <c r="P23" s="11"/>
      <c r="Q23" s="12" t="str">
        <f aca="false">IF(P23&lt;&gt;"",0.5*9.81*P23^2,"")</f>
        <v/>
      </c>
      <c r="R23" s="8"/>
      <c r="S23" s="8"/>
      <c r="T23" s="8"/>
      <c r="U23" s="12" t="str">
        <f aca="false">IF(O23&lt;&gt;"",O23^2,"")</f>
        <v/>
      </c>
    </row>
    <row r="24" customFormat="false" ht="15" hidden="false" customHeight="false" outlineLevel="0" collapsed="false">
      <c r="A24" s="8"/>
      <c r="B24" s="8"/>
      <c r="C24" s="8"/>
      <c r="D24" s="8"/>
      <c r="E24" s="8"/>
      <c r="F24" s="9"/>
      <c r="G24" s="10"/>
      <c r="H24" s="10"/>
      <c r="I24" s="8"/>
      <c r="J24" s="8"/>
      <c r="K24" s="9"/>
      <c r="L24" s="10"/>
      <c r="M24" s="10"/>
      <c r="N24" s="11"/>
      <c r="O24" s="12" t="str">
        <f aca="false">IF(AND(L24&lt;&gt;"",M24&lt;&gt;""),L24*TAN(RADIANS(M24))+IF(N24&lt;&gt;"",N24,0),"")</f>
        <v/>
      </c>
      <c r="P24" s="11"/>
      <c r="Q24" s="12" t="str">
        <f aca="false">IF(P24&lt;&gt;"",0.5*9.81*P24^2,"")</f>
        <v/>
      </c>
      <c r="R24" s="8"/>
      <c r="S24" s="8"/>
      <c r="T24" s="8"/>
      <c r="U24" s="12" t="str">
        <f aca="false">IF(O24&lt;&gt;"",O24^2,"")</f>
        <v/>
      </c>
    </row>
    <row r="25" customFormat="false" ht="15" hidden="false" customHeight="false" outlineLevel="0" collapsed="false">
      <c r="A25" s="8"/>
      <c r="B25" s="8"/>
      <c r="C25" s="8"/>
      <c r="D25" s="8"/>
      <c r="E25" s="8"/>
      <c r="F25" s="9"/>
      <c r="G25" s="10"/>
      <c r="H25" s="10"/>
      <c r="I25" s="8"/>
      <c r="J25" s="8"/>
      <c r="K25" s="9"/>
      <c r="L25" s="10"/>
      <c r="M25" s="10"/>
      <c r="N25" s="11"/>
      <c r="O25" s="12" t="str">
        <f aca="false">IF(AND(L25&lt;&gt;"",M25&lt;&gt;""),L25*TAN(RADIANS(M25))+IF(N25&lt;&gt;"",N25,0),"")</f>
        <v/>
      </c>
      <c r="P25" s="11"/>
      <c r="Q25" s="12" t="str">
        <f aca="false">IF(P25&lt;&gt;"",0.5*9.81*P25^2,"")</f>
        <v/>
      </c>
      <c r="R25" s="8"/>
      <c r="S25" s="8"/>
      <c r="T25" s="8"/>
      <c r="U25" s="12" t="str">
        <f aca="false">IF(O25&lt;&gt;"",O25^2,"")</f>
        <v/>
      </c>
    </row>
    <row r="26" customFormat="false" ht="15" hidden="false" customHeight="false" outlineLevel="0" collapsed="false">
      <c r="A26" s="8"/>
      <c r="B26" s="8"/>
      <c r="C26" s="8"/>
      <c r="D26" s="8"/>
      <c r="E26" s="8"/>
      <c r="F26" s="9"/>
      <c r="G26" s="10"/>
      <c r="H26" s="10"/>
      <c r="I26" s="8"/>
      <c r="J26" s="8"/>
      <c r="K26" s="9"/>
      <c r="L26" s="10"/>
      <c r="M26" s="10"/>
      <c r="N26" s="11"/>
      <c r="O26" s="12" t="str">
        <f aca="false">IF(AND(L26&lt;&gt;"",M26&lt;&gt;""),L26*TAN(RADIANS(M26))+IF(N26&lt;&gt;"",N26,0),"")</f>
        <v/>
      </c>
      <c r="P26" s="11"/>
      <c r="Q26" s="12" t="str">
        <f aca="false">IF(P26&lt;&gt;"",0.5*9.81*P26^2,"")</f>
        <v/>
      </c>
      <c r="R26" s="8"/>
      <c r="S26" s="8"/>
      <c r="T26" s="8"/>
      <c r="U26" s="12" t="str">
        <f aca="false">IF(O26&lt;&gt;"",O26^2,"")</f>
        <v/>
      </c>
    </row>
    <row r="27" customFormat="false" ht="15" hidden="false" customHeight="false" outlineLevel="0" collapsed="false">
      <c r="A27" s="8"/>
      <c r="B27" s="8"/>
      <c r="C27" s="8"/>
      <c r="D27" s="8"/>
      <c r="E27" s="8"/>
      <c r="F27" s="9"/>
      <c r="G27" s="10"/>
      <c r="H27" s="10"/>
      <c r="I27" s="8"/>
      <c r="J27" s="8"/>
      <c r="K27" s="9"/>
      <c r="L27" s="10"/>
      <c r="M27" s="10"/>
      <c r="N27" s="11"/>
      <c r="O27" s="12" t="str">
        <f aca="false">IF(AND(L27&lt;&gt;"",M27&lt;&gt;""),L27*TAN(RADIANS(M27))+IF(N27&lt;&gt;"",N27,0),"")</f>
        <v/>
      </c>
      <c r="P27" s="11"/>
      <c r="Q27" s="12" t="str">
        <f aca="false">IF(P27&lt;&gt;"",0.5*9.81*P27^2,"")</f>
        <v/>
      </c>
      <c r="R27" s="8"/>
      <c r="S27" s="8"/>
      <c r="T27" s="8"/>
      <c r="U27" s="12" t="str">
        <f aca="false">IF(O27&lt;&gt;"",O27^2,"")</f>
        <v/>
      </c>
    </row>
    <row r="28" customFormat="false" ht="15" hidden="false" customHeight="false" outlineLevel="0" collapsed="false">
      <c r="A28" s="8"/>
      <c r="B28" s="8"/>
      <c r="C28" s="8"/>
      <c r="D28" s="8"/>
      <c r="E28" s="8"/>
      <c r="F28" s="9"/>
      <c r="G28" s="10"/>
      <c r="H28" s="10"/>
      <c r="I28" s="8"/>
      <c r="J28" s="8"/>
      <c r="K28" s="9"/>
      <c r="L28" s="10"/>
      <c r="M28" s="10"/>
      <c r="N28" s="11"/>
      <c r="O28" s="12" t="str">
        <f aca="false">IF(AND(L28&lt;&gt;"",M28&lt;&gt;""),L28*TAN(RADIANS(M28))+IF(N28&lt;&gt;"",N28,0),"")</f>
        <v/>
      </c>
      <c r="P28" s="11"/>
      <c r="Q28" s="12" t="str">
        <f aca="false">IF(P28&lt;&gt;"",0.5*9.81*P28^2,"")</f>
        <v/>
      </c>
      <c r="R28" s="8"/>
      <c r="S28" s="8"/>
      <c r="T28" s="8"/>
      <c r="U28" s="12" t="str">
        <f aca="false">IF(O28&lt;&gt;"",O28^2,"")</f>
        <v/>
      </c>
    </row>
    <row r="29" customFormat="false" ht="15" hidden="false" customHeight="false" outlineLevel="0" collapsed="false">
      <c r="A29" s="8"/>
      <c r="B29" s="8"/>
      <c r="C29" s="8"/>
      <c r="D29" s="8"/>
      <c r="E29" s="8"/>
      <c r="F29" s="9"/>
      <c r="G29" s="10"/>
      <c r="H29" s="10"/>
      <c r="I29" s="8"/>
      <c r="J29" s="8"/>
      <c r="K29" s="9"/>
      <c r="L29" s="10"/>
      <c r="M29" s="10"/>
      <c r="N29" s="11"/>
      <c r="O29" s="12" t="str">
        <f aca="false">IF(AND(L29&lt;&gt;"",M29&lt;&gt;""),L29*TAN(RADIANS(M29))+IF(N29&lt;&gt;"",N29,0),"")</f>
        <v/>
      </c>
      <c r="P29" s="11"/>
      <c r="Q29" s="12" t="str">
        <f aca="false">IF(P29&lt;&gt;"",0.5*9.81*P29^2,"")</f>
        <v/>
      </c>
      <c r="R29" s="8"/>
      <c r="S29" s="8"/>
      <c r="T29" s="8"/>
      <c r="U29" s="12" t="str">
        <f aca="false">IF(O29&lt;&gt;"",O29^2,"")</f>
        <v/>
      </c>
    </row>
    <row r="30" customFormat="false" ht="15" hidden="false" customHeight="false" outlineLevel="0" collapsed="false">
      <c r="A30" s="8"/>
      <c r="B30" s="8"/>
      <c r="C30" s="8"/>
      <c r="D30" s="8"/>
      <c r="E30" s="8"/>
      <c r="F30" s="9"/>
      <c r="G30" s="10"/>
      <c r="H30" s="10"/>
      <c r="I30" s="8"/>
      <c r="J30" s="8"/>
      <c r="K30" s="9"/>
      <c r="L30" s="10"/>
      <c r="M30" s="10"/>
      <c r="N30" s="11"/>
      <c r="O30" s="12" t="str">
        <f aca="false">IF(AND(L30&lt;&gt;"",M30&lt;&gt;""),L30*TAN(RADIANS(M30))+IF(N30&lt;&gt;"",N30,0),"")</f>
        <v/>
      </c>
      <c r="P30" s="11"/>
      <c r="Q30" s="12" t="str">
        <f aca="false">IF(P30&lt;&gt;"",0.5*9.81*P30^2,"")</f>
        <v/>
      </c>
      <c r="R30" s="8"/>
      <c r="S30" s="8"/>
      <c r="T30" s="8"/>
      <c r="U30" s="12" t="str">
        <f aca="false">IF(O30&lt;&gt;"",O30^2,"")</f>
        <v/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s="9"/>
      <c r="G31" s="10"/>
      <c r="H31" s="10"/>
      <c r="I31" s="8"/>
      <c r="J31" s="8"/>
      <c r="K31" s="9"/>
      <c r="L31" s="10"/>
      <c r="M31" s="10"/>
      <c r="N31" s="11"/>
      <c r="O31" s="12" t="str">
        <f aca="false">IF(AND(L31&lt;&gt;"",M31&lt;&gt;""),L31*TAN(RADIANS(M31))+IF(N31&lt;&gt;"",N31,0),"")</f>
        <v/>
      </c>
      <c r="P31" s="11"/>
      <c r="Q31" s="12" t="str">
        <f aca="false">IF(P31&lt;&gt;"",0.5*9.81*P31^2,"")</f>
        <v/>
      </c>
      <c r="R31" s="8"/>
      <c r="S31" s="8"/>
      <c r="T31" s="8"/>
      <c r="U31" s="12" t="str">
        <f aca="false">IF(O31&lt;&gt;"",O31^2,"")</f>
        <v/>
      </c>
    </row>
    <row r="32" customFormat="false" ht="15" hidden="false" customHeight="false" outlineLevel="0" collapsed="false">
      <c r="A32" s="8"/>
      <c r="B32" s="8"/>
      <c r="C32" s="8"/>
      <c r="D32" s="8"/>
      <c r="E32" s="8"/>
      <c r="F32" s="9"/>
      <c r="G32" s="10"/>
      <c r="H32" s="10"/>
      <c r="I32" s="8"/>
      <c r="J32" s="8"/>
      <c r="K32" s="9"/>
      <c r="L32" s="10"/>
      <c r="M32" s="10"/>
      <c r="N32" s="11"/>
      <c r="O32" s="12" t="str">
        <f aca="false">IF(AND(L32&lt;&gt;"",M32&lt;&gt;""),L32*TAN(RADIANS(M32))+IF(N32&lt;&gt;"",N32,0),"")</f>
        <v/>
      </c>
      <c r="P32" s="11"/>
      <c r="Q32" s="12" t="str">
        <f aca="false">IF(P32&lt;&gt;"",0.5*9.81*P32^2,"")</f>
        <v/>
      </c>
      <c r="R32" s="8"/>
      <c r="S32" s="8"/>
      <c r="T32" s="8"/>
      <c r="U32" s="12" t="str">
        <f aca="false">IF(O32&lt;&gt;"",O32^2,"")</f>
        <v/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s="9"/>
      <c r="G33" s="10"/>
      <c r="H33" s="10"/>
      <c r="I33" s="8"/>
      <c r="J33" s="8"/>
      <c r="K33" s="9"/>
      <c r="L33" s="10"/>
      <c r="M33" s="10"/>
      <c r="N33" s="11"/>
      <c r="O33" s="12" t="str">
        <f aca="false">IF(AND(L33&lt;&gt;"",M33&lt;&gt;""),L33*TAN(RADIANS(M33))+IF(N33&lt;&gt;"",N33,0),"")</f>
        <v/>
      </c>
      <c r="P33" s="11"/>
      <c r="Q33" s="12" t="str">
        <f aca="false">IF(P33&lt;&gt;"",0.5*9.81*P33^2,"")</f>
        <v/>
      </c>
      <c r="R33" s="8"/>
      <c r="S33" s="8"/>
      <c r="T33" s="8"/>
      <c r="U33" s="12" t="str">
        <f aca="false">IF(O33&lt;&gt;"",O33^2,"")</f>
        <v/>
      </c>
    </row>
    <row r="34" customFormat="false" ht="15" hidden="false" customHeight="false" outlineLevel="0" collapsed="false">
      <c r="A34" s="8"/>
      <c r="B34" s="8"/>
      <c r="C34" s="8"/>
      <c r="D34" s="8"/>
      <c r="E34" s="8"/>
      <c r="F34" s="9"/>
      <c r="G34" s="10"/>
      <c r="H34" s="10"/>
      <c r="I34" s="8"/>
      <c r="J34" s="8"/>
      <c r="K34" s="9"/>
      <c r="L34" s="10"/>
      <c r="M34" s="10"/>
      <c r="N34" s="11"/>
      <c r="O34" s="12" t="str">
        <f aca="false">IF(AND(L34&lt;&gt;"",M34&lt;&gt;""),L34*TAN(RADIANS(M34))+IF(N34&lt;&gt;"",N34,0),"")</f>
        <v/>
      </c>
      <c r="P34" s="11"/>
      <c r="Q34" s="12" t="str">
        <f aca="false">IF(P34&lt;&gt;"",0.5*9.81*P34^2,"")</f>
        <v/>
      </c>
      <c r="R34" s="8"/>
      <c r="S34" s="8"/>
      <c r="T34" s="8"/>
      <c r="U34" s="12" t="str">
        <f aca="false">IF(O34&lt;&gt;"",O34^2,"")</f>
        <v/>
      </c>
    </row>
    <row r="35" customFormat="false" ht="15" hidden="false" customHeight="false" outlineLevel="0" collapsed="false">
      <c r="A35" s="8"/>
      <c r="B35" s="8"/>
      <c r="C35" s="8"/>
      <c r="D35" s="8"/>
      <c r="E35" s="8"/>
      <c r="F35" s="9"/>
      <c r="G35" s="10"/>
      <c r="H35" s="10"/>
      <c r="I35" s="8"/>
      <c r="J35" s="8"/>
      <c r="K35" s="9"/>
      <c r="L35" s="10"/>
      <c r="M35" s="10"/>
      <c r="N35" s="11"/>
      <c r="O35" s="12" t="str">
        <f aca="false">IF(AND(L35&lt;&gt;"",M35&lt;&gt;""),L35*TAN(RADIANS(M35))+IF(N35&lt;&gt;"",N35,0),"")</f>
        <v/>
      </c>
      <c r="P35" s="11"/>
      <c r="Q35" s="12" t="str">
        <f aca="false">IF(P35&lt;&gt;"",0.5*9.81*P35^2,"")</f>
        <v/>
      </c>
      <c r="R35" s="8"/>
      <c r="S35" s="8"/>
      <c r="T35" s="8"/>
      <c r="U35" s="12" t="str">
        <f aca="false">IF(O35&lt;&gt;"",O35^2,"")</f>
        <v/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s="9"/>
      <c r="G36" s="10"/>
      <c r="H36" s="10"/>
      <c r="I36" s="8"/>
      <c r="J36" s="8"/>
      <c r="K36" s="9"/>
      <c r="L36" s="10"/>
      <c r="M36" s="10"/>
      <c r="N36" s="11"/>
      <c r="O36" s="12" t="str">
        <f aca="false">IF(AND(L36&lt;&gt;"",M36&lt;&gt;""),L36*TAN(RADIANS(M36))+IF(N36&lt;&gt;"",N36,0),"")</f>
        <v/>
      </c>
      <c r="P36" s="11"/>
      <c r="Q36" s="12" t="str">
        <f aca="false">IF(P36&lt;&gt;"",0.5*9.81*P36^2,"")</f>
        <v/>
      </c>
      <c r="R36" s="8"/>
      <c r="S36" s="8"/>
      <c r="T36" s="8"/>
      <c r="U36" s="12" t="str">
        <f aca="false">IF(O36&lt;&gt;"",O36^2,"")</f>
        <v/>
      </c>
    </row>
    <row r="37" customFormat="false" ht="15" hidden="false" customHeight="false" outlineLevel="0" collapsed="false">
      <c r="A37" s="8"/>
      <c r="B37" s="8"/>
      <c r="C37" s="8"/>
      <c r="D37" s="8"/>
      <c r="E37" s="8"/>
      <c r="F37" s="9"/>
      <c r="G37" s="10"/>
      <c r="H37" s="10"/>
      <c r="I37" s="8"/>
      <c r="J37" s="8"/>
      <c r="K37" s="9"/>
      <c r="L37" s="10"/>
      <c r="M37" s="10"/>
      <c r="N37" s="11"/>
      <c r="O37" s="12" t="str">
        <f aca="false">IF(AND(L37&lt;&gt;"",M37&lt;&gt;""),L37*TAN(RADIANS(M37))+IF(N37&lt;&gt;"",N37,0),"")</f>
        <v/>
      </c>
      <c r="P37" s="11"/>
      <c r="Q37" s="12" t="str">
        <f aca="false">IF(P37&lt;&gt;"",0.5*9.81*P37^2,"")</f>
        <v/>
      </c>
      <c r="R37" s="8"/>
      <c r="S37" s="8"/>
      <c r="T37" s="8"/>
      <c r="U37" s="12" t="str">
        <f aca="false">IF(O37&lt;&gt;"",O37^2,"")</f>
        <v/>
      </c>
    </row>
    <row r="38" customFormat="false" ht="15" hidden="false" customHeight="false" outlineLevel="0" collapsed="false">
      <c r="A38" s="8"/>
      <c r="B38" s="8"/>
      <c r="C38" s="8"/>
      <c r="D38" s="8"/>
      <c r="E38" s="8"/>
      <c r="F38" s="9"/>
      <c r="G38" s="10"/>
      <c r="H38" s="10"/>
      <c r="I38" s="8"/>
      <c r="J38" s="8"/>
      <c r="K38" s="9"/>
      <c r="L38" s="10"/>
      <c r="M38" s="10"/>
      <c r="N38" s="11"/>
      <c r="O38" s="12" t="str">
        <f aca="false">IF(AND(L38&lt;&gt;"",M38&lt;&gt;""),L38*TAN(RADIANS(M38))+IF(N38&lt;&gt;"",N38,0),"")</f>
        <v/>
      </c>
      <c r="P38" s="11"/>
      <c r="Q38" s="12" t="str">
        <f aca="false">IF(P38&lt;&gt;"",0.5*9.81*P38^2,"")</f>
        <v/>
      </c>
      <c r="R38" s="8"/>
      <c r="S38" s="8"/>
      <c r="T38" s="8"/>
      <c r="U38" s="12" t="str">
        <f aca="false">IF(O38&lt;&gt;"",O38^2,"")</f>
        <v/>
      </c>
    </row>
    <row r="39" customFormat="false" ht="15" hidden="false" customHeight="false" outlineLevel="0" collapsed="false">
      <c r="A39" s="8"/>
      <c r="B39" s="8"/>
      <c r="C39" s="8"/>
      <c r="D39" s="8"/>
      <c r="E39" s="8"/>
      <c r="F39" s="9"/>
      <c r="G39" s="10"/>
      <c r="H39" s="10"/>
      <c r="I39" s="8"/>
      <c r="J39" s="8"/>
      <c r="K39" s="9"/>
      <c r="L39" s="10"/>
      <c r="M39" s="10"/>
      <c r="N39" s="11"/>
      <c r="O39" s="12" t="str">
        <f aca="false">IF(AND(L39&lt;&gt;"",M39&lt;&gt;""),L39*TAN(RADIANS(M39))+IF(N39&lt;&gt;"",N39,0),"")</f>
        <v/>
      </c>
      <c r="P39" s="11"/>
      <c r="Q39" s="12" t="str">
        <f aca="false">IF(P39&lt;&gt;"",0.5*9.81*P39^2,"")</f>
        <v/>
      </c>
      <c r="R39" s="8"/>
      <c r="S39" s="8"/>
      <c r="T39" s="8"/>
      <c r="U39" s="12" t="str">
        <f aca="false">IF(O39&lt;&gt;"",O39^2,"")</f>
        <v/>
      </c>
    </row>
    <row r="40" customFormat="false" ht="15" hidden="false" customHeight="false" outlineLevel="0" collapsed="false">
      <c r="A40" s="8"/>
      <c r="B40" s="8"/>
      <c r="C40" s="8"/>
      <c r="D40" s="8"/>
      <c r="E40" s="8"/>
      <c r="F40" s="9"/>
      <c r="G40" s="10"/>
      <c r="H40" s="10"/>
      <c r="I40" s="8"/>
      <c r="J40" s="8"/>
      <c r="K40" s="9"/>
      <c r="L40" s="10"/>
      <c r="M40" s="10"/>
      <c r="N40" s="11"/>
      <c r="O40" s="12" t="str">
        <f aca="false">IF(AND(L40&lt;&gt;"",M40&lt;&gt;""),L40*TAN(RADIANS(M40))+IF(N40&lt;&gt;"",N40,0),"")</f>
        <v/>
      </c>
      <c r="P40" s="11"/>
      <c r="Q40" s="12" t="str">
        <f aca="false">IF(P40&lt;&gt;"",0.5*9.81*P40^2,"")</f>
        <v/>
      </c>
      <c r="R40" s="8"/>
      <c r="S40" s="8"/>
      <c r="T40" s="8"/>
      <c r="U40" s="12" t="str">
        <f aca="false">IF(O40&lt;&gt;"",O40^2,"")</f>
        <v/>
      </c>
    </row>
    <row r="41" customFormat="false" ht="15" hidden="false" customHeight="false" outlineLevel="0" collapsed="false">
      <c r="A41" s="8"/>
      <c r="B41" s="8"/>
      <c r="C41" s="8"/>
      <c r="D41" s="8"/>
      <c r="E41" s="8"/>
      <c r="F41" s="9"/>
      <c r="G41" s="10"/>
      <c r="H41" s="10"/>
      <c r="I41" s="8"/>
      <c r="J41" s="8"/>
      <c r="K41" s="9"/>
      <c r="L41" s="10"/>
      <c r="M41" s="10"/>
      <c r="N41" s="11"/>
      <c r="O41" s="12" t="str">
        <f aca="false">IF(AND(L41&lt;&gt;"",M41&lt;&gt;""),L41*TAN(RADIANS(M41))+IF(N41&lt;&gt;"",N41,0),"")</f>
        <v/>
      </c>
      <c r="P41" s="11"/>
      <c r="Q41" s="12" t="str">
        <f aca="false">IF(P41&lt;&gt;"",0.5*9.81*P41^2,"")</f>
        <v/>
      </c>
      <c r="R41" s="8"/>
      <c r="S41" s="8"/>
      <c r="T41" s="8"/>
      <c r="U41" s="12" t="str">
        <f aca="false">IF(O41&lt;&gt;"",O41^2,"")</f>
        <v/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s="9"/>
      <c r="G42" s="10"/>
      <c r="H42" s="10"/>
      <c r="I42" s="8"/>
      <c r="J42" s="8"/>
      <c r="K42" s="9"/>
      <c r="L42" s="10"/>
      <c r="M42" s="10"/>
      <c r="N42" s="11"/>
      <c r="O42" s="12" t="str">
        <f aca="false">IF(AND(L42&lt;&gt;"",M42&lt;&gt;""),L42*TAN(RADIANS(M42))+IF(N42&lt;&gt;"",N42,0),"")</f>
        <v/>
      </c>
      <c r="P42" s="11"/>
      <c r="Q42" s="12" t="str">
        <f aca="false">IF(P42&lt;&gt;"",0.5*9.81*P42^2,"")</f>
        <v/>
      </c>
      <c r="R42" s="8"/>
      <c r="S42" s="8"/>
      <c r="T42" s="8"/>
      <c r="U42" s="12" t="str">
        <f aca="false">IF(O42&lt;&gt;"",O42^2,"")</f>
        <v/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s="9"/>
      <c r="G43" s="10"/>
      <c r="H43" s="10"/>
      <c r="I43" s="8"/>
      <c r="J43" s="8"/>
      <c r="K43" s="9"/>
      <c r="L43" s="10"/>
      <c r="M43" s="10"/>
      <c r="N43" s="11"/>
      <c r="O43" s="12" t="str">
        <f aca="false">IF(AND(L43&lt;&gt;"",M43&lt;&gt;""),L43*TAN(RADIANS(M43))+IF(N43&lt;&gt;"",N43,0),"")</f>
        <v/>
      </c>
      <c r="P43" s="11"/>
      <c r="Q43" s="12" t="str">
        <f aca="false">IF(P43&lt;&gt;"",0.5*9.81*P43^2,"")</f>
        <v/>
      </c>
      <c r="R43" s="8"/>
      <c r="S43" s="8"/>
      <c r="T43" s="8"/>
      <c r="U43" s="12" t="str">
        <f aca="false">IF(O43&lt;&gt;"",O43^2,"")</f>
        <v/>
      </c>
    </row>
    <row r="44" customFormat="false" ht="15" hidden="false" customHeight="false" outlineLevel="0" collapsed="false">
      <c r="A44" s="8"/>
      <c r="B44" s="8"/>
      <c r="C44" s="8"/>
      <c r="D44" s="8"/>
      <c r="E44" s="8"/>
      <c r="F44" s="9"/>
      <c r="G44" s="10"/>
      <c r="H44" s="10"/>
      <c r="I44" s="8"/>
      <c r="J44" s="8"/>
      <c r="K44" s="9"/>
      <c r="L44" s="10"/>
      <c r="M44" s="10"/>
      <c r="N44" s="11"/>
      <c r="O44" s="12" t="str">
        <f aca="false">IF(AND(L44&lt;&gt;"",M44&lt;&gt;""),L44*TAN(RADIANS(M44))+IF(N44&lt;&gt;"",N44,0),"")</f>
        <v/>
      </c>
      <c r="P44" s="11"/>
      <c r="Q44" s="12" t="str">
        <f aca="false">IF(P44&lt;&gt;"",0.5*9.81*P44^2,"")</f>
        <v/>
      </c>
      <c r="R44" s="8"/>
      <c r="S44" s="8"/>
      <c r="T44" s="8"/>
      <c r="U44" s="12" t="str">
        <f aca="false">IF(O44&lt;&gt;"",O44^2,"")</f>
        <v/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s="9"/>
      <c r="G45" s="10"/>
      <c r="H45" s="10"/>
      <c r="I45" s="8"/>
      <c r="J45" s="8"/>
      <c r="K45" s="9"/>
      <c r="L45" s="10"/>
      <c r="M45" s="10"/>
      <c r="N45" s="11"/>
      <c r="O45" s="12" t="str">
        <f aca="false">IF(AND(L45&lt;&gt;"",M45&lt;&gt;""),L45*TAN(RADIANS(M45))+IF(N45&lt;&gt;"",N45,0),"")</f>
        <v/>
      </c>
      <c r="P45" s="11"/>
      <c r="Q45" s="12" t="str">
        <f aca="false">IF(P45&lt;&gt;"",0.5*9.81*P45^2,"")</f>
        <v/>
      </c>
      <c r="R45" s="8"/>
      <c r="S45" s="8"/>
      <c r="T45" s="8"/>
      <c r="U45" s="12" t="str">
        <f aca="false">IF(O45&lt;&gt;"",O45^2,"")</f>
        <v/>
      </c>
    </row>
    <row r="46" customFormat="false" ht="15" hidden="false" customHeight="false" outlineLevel="0" collapsed="false">
      <c r="A46" s="8"/>
      <c r="B46" s="8"/>
      <c r="C46" s="8"/>
      <c r="D46" s="8"/>
      <c r="E46" s="8"/>
      <c r="F46" s="9"/>
      <c r="G46" s="10"/>
      <c r="H46" s="10"/>
      <c r="I46" s="8"/>
      <c r="J46" s="8"/>
      <c r="K46" s="9"/>
      <c r="L46" s="10"/>
      <c r="M46" s="10"/>
      <c r="N46" s="11"/>
      <c r="O46" s="12" t="str">
        <f aca="false">IF(AND(L46&lt;&gt;"",M46&lt;&gt;""),L46*TAN(RADIANS(M46))+IF(N46&lt;&gt;"",N46,0),"")</f>
        <v/>
      </c>
      <c r="P46" s="11"/>
      <c r="Q46" s="12" t="str">
        <f aca="false">IF(P46&lt;&gt;"",0.5*9.81*P46^2,"")</f>
        <v/>
      </c>
      <c r="R46" s="8"/>
      <c r="S46" s="8"/>
      <c r="T46" s="8"/>
      <c r="U46" s="12" t="str">
        <f aca="false">IF(O46&lt;&gt;"",O46^2,"")</f>
        <v/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9"/>
      <c r="G47" s="10"/>
      <c r="H47" s="10"/>
      <c r="I47" s="8"/>
      <c r="J47" s="8"/>
      <c r="K47" s="9"/>
      <c r="L47" s="10"/>
      <c r="M47" s="10"/>
      <c r="N47" s="11"/>
      <c r="O47" s="12" t="str">
        <f aca="false">IF(AND(L47&lt;&gt;"",M47&lt;&gt;""),L47*TAN(RADIANS(M47))+IF(N47&lt;&gt;"",N47,0),"")</f>
        <v/>
      </c>
      <c r="P47" s="11"/>
      <c r="Q47" s="12" t="str">
        <f aca="false">IF(P47&lt;&gt;"",0.5*9.81*P47^2,"")</f>
        <v/>
      </c>
      <c r="R47" s="8"/>
      <c r="S47" s="8"/>
      <c r="T47" s="8"/>
      <c r="U47" s="12" t="str">
        <f aca="false">IF(O47&lt;&gt;"",O47^2,"")</f>
        <v/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9"/>
      <c r="G48" s="10"/>
      <c r="H48" s="10"/>
      <c r="I48" s="8"/>
      <c r="J48" s="8"/>
      <c r="K48" s="9"/>
      <c r="L48" s="10"/>
      <c r="M48" s="10"/>
      <c r="N48" s="11"/>
      <c r="O48" s="12" t="str">
        <f aca="false">IF(AND(L48&lt;&gt;"",M48&lt;&gt;""),L48*TAN(RADIANS(M48))+IF(N48&lt;&gt;"",N48,0),"")</f>
        <v/>
      </c>
      <c r="P48" s="11"/>
      <c r="Q48" s="12" t="str">
        <f aca="false">IF(P48&lt;&gt;"",0.5*9.81*P48^2,"")</f>
        <v/>
      </c>
      <c r="R48" s="8"/>
      <c r="S48" s="8"/>
      <c r="T48" s="8"/>
      <c r="U48" s="12" t="str">
        <f aca="false">IF(O48&lt;&gt;"",O48^2,"")</f>
        <v/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9"/>
      <c r="G49" s="10"/>
      <c r="H49" s="10"/>
      <c r="I49" s="8"/>
      <c r="J49" s="8"/>
      <c r="K49" s="9"/>
      <c r="L49" s="10"/>
      <c r="M49" s="10"/>
      <c r="N49" s="11"/>
      <c r="O49" s="12" t="str">
        <f aca="false">IF(AND(L49&lt;&gt;"",M49&lt;&gt;""),L49*TAN(RADIANS(M49))+IF(N49&lt;&gt;"",N49,0),"")</f>
        <v/>
      </c>
      <c r="P49" s="11"/>
      <c r="Q49" s="12" t="str">
        <f aca="false">IF(P49&lt;&gt;"",0.5*9.81*P49^2,"")</f>
        <v/>
      </c>
      <c r="R49" s="8"/>
      <c r="S49" s="8"/>
      <c r="T49" s="8"/>
      <c r="U49" s="12" t="str">
        <f aca="false">IF(O49&lt;&gt;"",O49^2,"")</f>
        <v/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9"/>
      <c r="G50" s="10"/>
      <c r="H50" s="10"/>
      <c r="I50" s="8"/>
      <c r="J50" s="8"/>
      <c r="K50" s="9"/>
      <c r="L50" s="10"/>
      <c r="M50" s="10"/>
      <c r="N50" s="11"/>
      <c r="O50" s="12" t="str">
        <f aca="false">IF(AND(L50&lt;&gt;"",M50&lt;&gt;""),L50*TAN(RADIANS(M50))+IF(N50&lt;&gt;"",N50,0),"")</f>
        <v/>
      </c>
      <c r="P50" s="11"/>
      <c r="Q50" s="12" t="str">
        <f aca="false">IF(P50&lt;&gt;"",0.5*9.81*P50^2,"")</f>
        <v/>
      </c>
      <c r="R50" s="8"/>
      <c r="S50" s="8"/>
      <c r="T50" s="8"/>
      <c r="U50" s="12" t="str">
        <f aca="false">IF(O50&lt;&gt;"",O50^2,"")</f>
        <v/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9"/>
      <c r="G51" s="10"/>
      <c r="H51" s="10"/>
      <c r="I51" s="8"/>
      <c r="J51" s="8"/>
      <c r="K51" s="9"/>
      <c r="L51" s="10"/>
      <c r="M51" s="10"/>
      <c r="N51" s="11"/>
      <c r="O51" s="12" t="str">
        <f aca="false">IF(AND(L51&lt;&gt;"",M51&lt;&gt;""),L51*TAN(RADIANS(M51))+IF(N51&lt;&gt;"",N51,0),"")</f>
        <v/>
      </c>
      <c r="P51" s="11"/>
      <c r="Q51" s="12" t="str">
        <f aca="false">IF(P51&lt;&gt;"",0.5*9.81*P51^2,"")</f>
        <v/>
      </c>
      <c r="R51" s="8"/>
      <c r="S51" s="8"/>
      <c r="T51" s="8"/>
      <c r="U51" s="12" t="str">
        <f aca="false">IF(O51&lt;&gt;"",O51^2,"")</f>
        <v/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9"/>
      <c r="G52" s="10"/>
      <c r="H52" s="10"/>
      <c r="I52" s="8"/>
      <c r="J52" s="8"/>
      <c r="K52" s="9"/>
      <c r="L52" s="10"/>
      <c r="M52" s="10"/>
      <c r="N52" s="11"/>
      <c r="O52" s="12" t="str">
        <f aca="false">IF(AND(L52&lt;&gt;"",M52&lt;&gt;""),L52*TAN(RADIANS(M52))+IF(N52&lt;&gt;"",N52,0),"")</f>
        <v/>
      </c>
      <c r="P52" s="11"/>
      <c r="Q52" s="12" t="str">
        <f aca="false">IF(P52&lt;&gt;"",0.5*9.81*P52^2,"")</f>
        <v/>
      </c>
      <c r="R52" s="8"/>
      <c r="S52" s="8"/>
      <c r="T52" s="8"/>
      <c r="U52" s="12" t="str">
        <f aca="false">IF(O52&lt;&gt;"",O52^2,"")</f>
        <v/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9"/>
      <c r="G53" s="10"/>
      <c r="H53" s="10"/>
      <c r="I53" s="8"/>
      <c r="J53" s="8"/>
      <c r="K53" s="9"/>
      <c r="L53" s="10"/>
      <c r="M53" s="10"/>
      <c r="N53" s="11"/>
      <c r="O53" s="12" t="str">
        <f aca="false">IF(AND(L53&lt;&gt;"",M53&lt;&gt;""),L53*TAN(RADIANS(M53))+IF(N53&lt;&gt;"",N53,0),"")</f>
        <v/>
      </c>
      <c r="P53" s="11"/>
      <c r="Q53" s="12" t="str">
        <f aca="false">IF(P53&lt;&gt;"",0.5*9.81*P53^2,"")</f>
        <v/>
      </c>
      <c r="R53" s="8"/>
      <c r="S53" s="8"/>
      <c r="T53" s="8"/>
      <c r="U53" s="12" t="str">
        <f aca="false">IF(O53&lt;&gt;"",O53^2,"")</f>
        <v/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9"/>
      <c r="G54" s="10"/>
      <c r="H54" s="10"/>
      <c r="I54" s="8"/>
      <c r="J54" s="8"/>
      <c r="K54" s="9"/>
      <c r="L54" s="10"/>
      <c r="M54" s="10"/>
      <c r="N54" s="11"/>
      <c r="O54" s="12" t="str">
        <f aca="false">IF(AND(L54&lt;&gt;"",M54&lt;&gt;""),L54*TAN(RADIANS(M54))+IF(N54&lt;&gt;"",N54,0),"")</f>
        <v/>
      </c>
      <c r="P54" s="11"/>
      <c r="Q54" s="12" t="str">
        <f aca="false">IF(P54&lt;&gt;"",0.5*9.81*P54^2,"")</f>
        <v/>
      </c>
      <c r="R54" s="8"/>
      <c r="S54" s="8"/>
      <c r="T54" s="8"/>
      <c r="U54" s="12" t="str">
        <f aca="false">IF(O54&lt;&gt;"",O54^2,"")</f>
        <v/>
      </c>
    </row>
  </sheetData>
  <dataValidations count="2">
    <dataValidation allowBlank="true" errorStyle="stop" operator="between" showDropDown="false" showErrorMessage="false" showInputMessage="false" sqref="C5:C54" type="list">
      <formula1>"A,B,C"</formula1>
      <formula2>0</formula2>
    </dataValidation>
    <dataValidation allowBlank="true" errorStyle="stop" operator="between" showDropDown="false" showErrorMessage="false" showInputMessage="false" sqref="R5:S54" type="list">
      <formula1>"ja,nee"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0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23.85" hidden="false" customHeight="false" outlineLevel="0" collapsed="false">
      <c r="A4" s="7" t="s">
        <v>33</v>
      </c>
      <c r="B4" s="7" t="s">
        <v>52</v>
      </c>
      <c r="C4" s="7" t="s">
        <v>53</v>
      </c>
      <c r="D4" s="7" t="s">
        <v>54</v>
      </c>
      <c r="E4" s="7" t="s">
        <v>55</v>
      </c>
      <c r="F4" s="7" t="s">
        <v>56</v>
      </c>
    </row>
    <row r="5" customFormat="false" ht="15" hidden="false" customHeight="false" outlineLevel="0" collapsed="false">
      <c r="A5" s="8"/>
      <c r="B5" s="12" t="str">
        <f aca="false">IF(A5="","",IFERROR(SUMIF(Vluchtlog!$E$5:$E$54,A5,Vluchtlog!$O$5:$O$54)/COUNTIFS(Vluchtlog!$E$5:$E$54,A5,Vluchtlog!$O$5:$O$54,"&lt;&gt;"),""))</f>
        <v/>
      </c>
      <c r="C5" s="12" t="str">
        <f aca="false">IF(OR(A5="",COUNTIFS(Vluchtlog!$E$5:$E$54,A5,Vluchtlog!$O$5:$O$54,"&lt;&gt;")&lt;2),"",SQRT((SUMIF(Vluchtlog!$E$5:$E$54,A5,Vluchtlog!$U$5:$U$54)-SUMIF(Vluchtlog!$E$5:$E$54,A5,Vluchtlog!$O$5:$O$54)^2/COUNTIFS(Vluchtlog!$E$5:$E$54,A5,Vluchtlog!$O$5:$O$54,"&lt;&gt;"))/(COUNTIFS(Vluchtlog!$E$5:$E$54,A5,Vluchtlog!$O$5:$O$54,"&lt;&gt;")-1)))</f>
        <v/>
      </c>
      <c r="D5" s="13" t="str">
        <f aca="false">IF(A5="","",COUNTIFS(Vluchtlog!$E$5:$E$54,A5,Vluchtlog!$O$5:$O$54,"&lt;&gt;"))</f>
        <v/>
      </c>
      <c r="E5" s="12" t="str">
        <f aca="false">IF(A5="","",IFERROR(minifs(Vluchtlog!$O$5:$O$54,Vluchtlog!$E$5:$E$54,A5),""))</f>
        <v/>
      </c>
      <c r="F5" s="12" t="str">
        <f aca="false">IF(A5="","",IFERROR(maxifs(Vluchtlog!$O$5:$O$54,Vluchtlog!$E$5:$E$54,A5),""))</f>
        <v/>
      </c>
    </row>
    <row r="6" customFormat="false" ht="15" hidden="false" customHeight="false" outlineLevel="0" collapsed="false">
      <c r="A6" s="8"/>
      <c r="B6" s="12" t="str">
        <f aca="false">IF(A6="","",IFERROR(SUMIF(Vluchtlog!$E$5:$E$54,A6,Vluchtlog!$O$5:$O$54)/COUNTIFS(Vluchtlog!$E$5:$E$54,A6,Vluchtlog!$O$5:$O$54,"&lt;&gt;"),""))</f>
        <v/>
      </c>
      <c r="C6" s="12" t="str">
        <f aca="false">IF(OR(A6="",COUNTIFS(Vluchtlog!$E$5:$E$54,A6,Vluchtlog!$O$5:$O$54,"&lt;&gt;")&lt;2),"",SQRT((SUMIF(Vluchtlog!$E$5:$E$54,A6,Vluchtlog!$U$5:$U$54)-SUMIF(Vluchtlog!$E$5:$E$54,A6,Vluchtlog!$O$5:$O$54)^2/COUNTIFS(Vluchtlog!$E$5:$E$54,A6,Vluchtlog!$O$5:$O$54,"&lt;&gt;"))/(COUNTIFS(Vluchtlog!$E$5:$E$54,A6,Vluchtlog!$O$5:$O$54,"&lt;&gt;")-1)))</f>
        <v/>
      </c>
      <c r="D6" s="13" t="str">
        <f aca="false">IF(A6="","",COUNTIFS(Vluchtlog!$E$5:$E$54,A6,Vluchtlog!$O$5:$O$54,"&lt;&gt;"))</f>
        <v/>
      </c>
      <c r="E6" s="12" t="str">
        <f aca="false">IF(A6="","",IFERROR(minifs(Vluchtlog!$O$5:$O$54,Vluchtlog!$E$5:$E$54,A6),""))</f>
        <v/>
      </c>
      <c r="F6" s="12" t="str">
        <f aca="false">IF(A6="","",IFERROR(maxifs(Vluchtlog!$O$5:$O$54,Vluchtlog!$E$5:$E$54,A6),""))</f>
        <v/>
      </c>
    </row>
    <row r="7" customFormat="false" ht="15" hidden="false" customHeight="false" outlineLevel="0" collapsed="false">
      <c r="A7" s="8"/>
      <c r="B7" s="12" t="str">
        <f aca="false">IF(A7="","",IFERROR(SUMIF(Vluchtlog!$E$5:$E$54,A7,Vluchtlog!$O$5:$O$54)/COUNTIFS(Vluchtlog!$E$5:$E$54,A7,Vluchtlog!$O$5:$O$54,"&lt;&gt;"),""))</f>
        <v/>
      </c>
      <c r="C7" s="12" t="str">
        <f aca="false">IF(OR(A7="",COUNTIFS(Vluchtlog!$E$5:$E$54,A7,Vluchtlog!$O$5:$O$54,"&lt;&gt;")&lt;2),"",SQRT((SUMIF(Vluchtlog!$E$5:$E$54,A7,Vluchtlog!$U$5:$U$54)-SUMIF(Vluchtlog!$E$5:$E$54,A7,Vluchtlog!$O$5:$O$54)^2/COUNTIFS(Vluchtlog!$E$5:$E$54,A7,Vluchtlog!$O$5:$O$54,"&lt;&gt;"))/(COUNTIFS(Vluchtlog!$E$5:$E$54,A7,Vluchtlog!$O$5:$O$54,"&lt;&gt;")-1)))</f>
        <v/>
      </c>
      <c r="D7" s="13" t="str">
        <f aca="false">IF(A7="","",COUNTIFS(Vluchtlog!$E$5:$E$54,A7,Vluchtlog!$O$5:$O$54,"&lt;&gt;"))</f>
        <v/>
      </c>
      <c r="E7" s="12" t="str">
        <f aca="false">IF(A7="","",IFERROR(minifs(Vluchtlog!$O$5:$O$54,Vluchtlog!$E$5:$E$54,A7),""))</f>
        <v/>
      </c>
      <c r="F7" s="12" t="str">
        <f aca="false">IF(A7="","",IFERROR(maxifs(Vluchtlog!$O$5:$O$54,Vluchtlog!$E$5:$E$54,A7),""))</f>
        <v/>
      </c>
    </row>
    <row r="8" customFormat="false" ht="15" hidden="false" customHeight="false" outlineLevel="0" collapsed="false">
      <c r="A8" s="8"/>
      <c r="B8" s="12" t="str">
        <f aca="false">IF(A8="","",IFERROR(SUMIF(Vluchtlog!$E$5:$E$54,A8,Vluchtlog!$O$5:$O$54)/COUNTIFS(Vluchtlog!$E$5:$E$54,A8,Vluchtlog!$O$5:$O$54,"&lt;&gt;"),""))</f>
        <v/>
      </c>
      <c r="C8" s="12" t="str">
        <f aca="false">IF(OR(A8="",COUNTIFS(Vluchtlog!$E$5:$E$54,A8,Vluchtlog!$O$5:$O$54,"&lt;&gt;")&lt;2),"",SQRT((SUMIF(Vluchtlog!$E$5:$E$54,A8,Vluchtlog!$U$5:$U$54)-SUMIF(Vluchtlog!$E$5:$E$54,A8,Vluchtlog!$O$5:$O$54)^2/COUNTIFS(Vluchtlog!$E$5:$E$54,A8,Vluchtlog!$O$5:$O$54,"&lt;&gt;"))/(COUNTIFS(Vluchtlog!$E$5:$E$54,A8,Vluchtlog!$O$5:$O$54,"&lt;&gt;")-1)))</f>
        <v/>
      </c>
      <c r="D8" s="13" t="str">
        <f aca="false">IF(A8="","",COUNTIFS(Vluchtlog!$E$5:$E$54,A8,Vluchtlog!$O$5:$O$54,"&lt;&gt;"))</f>
        <v/>
      </c>
      <c r="E8" s="12" t="str">
        <f aca="false">IF(A8="","",IFERROR(minifs(Vluchtlog!$O$5:$O$54,Vluchtlog!$E$5:$E$54,A8),""))</f>
        <v/>
      </c>
      <c r="F8" s="12" t="str">
        <f aca="false">IF(A8="","",IFERROR(maxifs(Vluchtlog!$O$5:$O$54,Vluchtlog!$E$5:$E$54,A8),""))</f>
        <v/>
      </c>
    </row>
    <row r="9" customFormat="false" ht="15" hidden="false" customHeight="false" outlineLevel="0" collapsed="false">
      <c r="A9" s="8"/>
      <c r="B9" s="12" t="str">
        <f aca="false">IF(A9="","",IFERROR(SUMIF(Vluchtlog!$E$5:$E$54,A9,Vluchtlog!$O$5:$O$54)/COUNTIFS(Vluchtlog!$E$5:$E$54,A9,Vluchtlog!$O$5:$O$54,"&lt;&gt;"),""))</f>
        <v/>
      </c>
      <c r="C9" s="12" t="str">
        <f aca="false">IF(OR(A9="",COUNTIFS(Vluchtlog!$E$5:$E$54,A9,Vluchtlog!$O$5:$O$54,"&lt;&gt;")&lt;2),"",SQRT((SUMIF(Vluchtlog!$E$5:$E$54,A9,Vluchtlog!$U$5:$U$54)-SUMIF(Vluchtlog!$E$5:$E$54,A9,Vluchtlog!$O$5:$O$54)^2/COUNTIFS(Vluchtlog!$E$5:$E$54,A9,Vluchtlog!$O$5:$O$54,"&lt;&gt;"))/(COUNTIFS(Vluchtlog!$E$5:$E$54,A9,Vluchtlog!$O$5:$O$54,"&lt;&gt;")-1)))</f>
        <v/>
      </c>
      <c r="D9" s="13" t="str">
        <f aca="false">IF(A9="","",COUNTIFS(Vluchtlog!$E$5:$E$54,A9,Vluchtlog!$O$5:$O$54,"&lt;&gt;"))</f>
        <v/>
      </c>
      <c r="E9" s="12" t="str">
        <f aca="false">IF(A9="","",IFERROR(minifs(Vluchtlog!$O$5:$O$54,Vluchtlog!$E$5:$E$54,A9),""))</f>
        <v/>
      </c>
      <c r="F9" s="12" t="str">
        <f aca="false">IF(A9="","",IFERROR(maxifs(Vluchtlog!$O$5:$O$54,Vluchtlog!$E$5:$E$54,A9),""))</f>
        <v/>
      </c>
    </row>
    <row r="10" customFormat="false" ht="15" hidden="false" customHeight="false" outlineLevel="0" collapsed="false">
      <c r="A10" s="8"/>
      <c r="B10" s="12" t="str">
        <f aca="false">IF(A10="","",IFERROR(SUMIF(Vluchtlog!$E$5:$E$54,A10,Vluchtlog!$O$5:$O$54)/COUNTIFS(Vluchtlog!$E$5:$E$54,A10,Vluchtlog!$O$5:$O$54,"&lt;&gt;"),""))</f>
        <v/>
      </c>
      <c r="C10" s="12" t="str">
        <f aca="false">IF(OR(A10="",COUNTIFS(Vluchtlog!$E$5:$E$54,A10,Vluchtlog!$O$5:$O$54,"&lt;&gt;")&lt;2),"",SQRT((SUMIF(Vluchtlog!$E$5:$E$54,A10,Vluchtlog!$U$5:$U$54)-SUMIF(Vluchtlog!$E$5:$E$54,A10,Vluchtlog!$O$5:$O$54)^2/COUNTIFS(Vluchtlog!$E$5:$E$54,A10,Vluchtlog!$O$5:$O$54,"&lt;&gt;"))/(COUNTIFS(Vluchtlog!$E$5:$E$54,A10,Vluchtlog!$O$5:$O$54,"&lt;&gt;")-1)))</f>
        <v/>
      </c>
      <c r="D10" s="13" t="str">
        <f aca="false">IF(A10="","",COUNTIFS(Vluchtlog!$E$5:$E$54,A10,Vluchtlog!$O$5:$O$54,"&lt;&gt;"))</f>
        <v/>
      </c>
      <c r="E10" s="12" t="str">
        <f aca="false">IF(A10="","",IFERROR(minifs(Vluchtlog!$O$5:$O$54,Vluchtlog!$E$5:$E$54,A10),""))</f>
        <v/>
      </c>
      <c r="F10" s="12" t="str">
        <f aca="false">IF(A10="","",IFERROR(maxifs(Vluchtlog!$O$5:$O$54,Vluchtlog!$E$5:$E$54,A10),""))</f>
        <v/>
      </c>
    </row>
    <row r="11" customFormat="false" ht="15" hidden="false" customHeight="false" outlineLevel="0" collapsed="false">
      <c r="A11" s="8"/>
      <c r="B11" s="12" t="str">
        <f aca="false">IF(A11="","",IFERROR(SUMIF(Vluchtlog!$E$5:$E$54,A11,Vluchtlog!$O$5:$O$54)/COUNTIFS(Vluchtlog!$E$5:$E$54,A11,Vluchtlog!$O$5:$O$54,"&lt;&gt;"),""))</f>
        <v/>
      </c>
      <c r="C11" s="12" t="str">
        <f aca="false">IF(OR(A11="",COUNTIFS(Vluchtlog!$E$5:$E$54,A11,Vluchtlog!$O$5:$O$54,"&lt;&gt;")&lt;2),"",SQRT((SUMIF(Vluchtlog!$E$5:$E$54,A11,Vluchtlog!$U$5:$U$54)-SUMIF(Vluchtlog!$E$5:$E$54,A11,Vluchtlog!$O$5:$O$54)^2/COUNTIFS(Vluchtlog!$E$5:$E$54,A11,Vluchtlog!$O$5:$O$54,"&lt;&gt;"))/(COUNTIFS(Vluchtlog!$E$5:$E$54,A11,Vluchtlog!$O$5:$O$54,"&lt;&gt;")-1)))</f>
        <v/>
      </c>
      <c r="D11" s="13" t="str">
        <f aca="false">IF(A11="","",COUNTIFS(Vluchtlog!$E$5:$E$54,A11,Vluchtlog!$O$5:$O$54,"&lt;&gt;"))</f>
        <v/>
      </c>
      <c r="E11" s="12" t="str">
        <f aca="false">IF(A11="","",IFERROR(minifs(Vluchtlog!$O$5:$O$54,Vluchtlog!$E$5:$E$54,A11),""))</f>
        <v/>
      </c>
      <c r="F11" s="12" t="str">
        <f aca="false">IF(A11="","",IFERROR(maxifs(Vluchtlog!$O$5:$O$54,Vluchtlog!$E$5:$E$54,A11),""))</f>
        <v/>
      </c>
    </row>
    <row r="12" customFormat="false" ht="15" hidden="false" customHeight="false" outlineLevel="0" collapsed="false">
      <c r="A12" s="8"/>
      <c r="B12" s="12" t="str">
        <f aca="false">IF(A12="","",IFERROR(SUMIF(Vluchtlog!$E$5:$E$54,A12,Vluchtlog!$O$5:$O$54)/COUNTIFS(Vluchtlog!$E$5:$E$54,A12,Vluchtlog!$O$5:$O$54,"&lt;&gt;"),""))</f>
        <v/>
      </c>
      <c r="C12" s="12" t="str">
        <f aca="false">IF(OR(A12="",COUNTIFS(Vluchtlog!$E$5:$E$54,A12,Vluchtlog!$O$5:$O$54,"&lt;&gt;")&lt;2),"",SQRT((SUMIF(Vluchtlog!$E$5:$E$54,A12,Vluchtlog!$U$5:$U$54)-SUMIF(Vluchtlog!$E$5:$E$54,A12,Vluchtlog!$O$5:$O$54)^2/COUNTIFS(Vluchtlog!$E$5:$E$54,A12,Vluchtlog!$O$5:$O$54,"&lt;&gt;"))/(COUNTIFS(Vluchtlog!$E$5:$E$54,A12,Vluchtlog!$O$5:$O$54,"&lt;&gt;")-1)))</f>
        <v/>
      </c>
      <c r="D12" s="13" t="str">
        <f aca="false">IF(A12="","",COUNTIFS(Vluchtlog!$E$5:$E$54,A12,Vluchtlog!$O$5:$O$54,"&lt;&gt;"))</f>
        <v/>
      </c>
      <c r="E12" s="12" t="str">
        <f aca="false">IF(A12="","",IFERROR(minifs(Vluchtlog!$O$5:$O$54,Vluchtlog!$E$5:$E$54,A12),""))</f>
        <v/>
      </c>
      <c r="F12" s="12" t="str">
        <f aca="false">IF(A12="","",IFERROR(maxifs(Vluchtlog!$O$5:$O$54,Vluchtlog!$E$5:$E$54,A12),""))</f>
        <v/>
      </c>
    </row>
    <row r="13" customFormat="false" ht="15" hidden="false" customHeight="false" outlineLevel="0" collapsed="false">
      <c r="A13" s="8"/>
      <c r="B13" s="12" t="str">
        <f aca="false">IF(A13="","",IFERROR(SUMIF(Vluchtlog!$E$5:$E$54,A13,Vluchtlog!$O$5:$O$54)/COUNTIFS(Vluchtlog!$E$5:$E$54,A13,Vluchtlog!$O$5:$O$54,"&lt;&gt;"),""))</f>
        <v/>
      </c>
      <c r="C13" s="12" t="str">
        <f aca="false">IF(OR(A13="",COUNTIFS(Vluchtlog!$E$5:$E$54,A13,Vluchtlog!$O$5:$O$54,"&lt;&gt;")&lt;2),"",SQRT((SUMIF(Vluchtlog!$E$5:$E$54,A13,Vluchtlog!$U$5:$U$54)-SUMIF(Vluchtlog!$E$5:$E$54,A13,Vluchtlog!$O$5:$O$54)^2/COUNTIFS(Vluchtlog!$E$5:$E$54,A13,Vluchtlog!$O$5:$O$54,"&lt;&gt;"))/(COUNTIFS(Vluchtlog!$E$5:$E$54,A13,Vluchtlog!$O$5:$O$54,"&lt;&gt;")-1)))</f>
        <v/>
      </c>
      <c r="D13" s="13" t="str">
        <f aca="false">IF(A13="","",COUNTIFS(Vluchtlog!$E$5:$E$54,A13,Vluchtlog!$O$5:$O$54,"&lt;&gt;"))</f>
        <v/>
      </c>
      <c r="E13" s="12" t="str">
        <f aca="false">IF(A13="","",IFERROR(minifs(Vluchtlog!$O$5:$O$54,Vluchtlog!$E$5:$E$54,A13),""))</f>
        <v/>
      </c>
      <c r="F13" s="12" t="str">
        <f aca="false">IF(A13="","",IFERROR(maxifs(Vluchtlog!$O$5:$O$54,Vluchtlog!$E$5:$E$54,A13),""))</f>
        <v/>
      </c>
    </row>
    <row r="14" customFormat="false" ht="15" hidden="false" customHeight="false" outlineLevel="0" collapsed="false">
      <c r="A14" s="8"/>
      <c r="B14" s="12" t="str">
        <f aca="false">IF(A14="","",IFERROR(SUMIF(Vluchtlog!$E$5:$E$54,A14,Vluchtlog!$O$5:$O$54)/COUNTIFS(Vluchtlog!$E$5:$E$54,A14,Vluchtlog!$O$5:$O$54,"&lt;&gt;"),""))</f>
        <v/>
      </c>
      <c r="C14" s="12" t="str">
        <f aca="false">IF(OR(A14="",COUNTIFS(Vluchtlog!$E$5:$E$54,A14,Vluchtlog!$O$5:$O$54,"&lt;&gt;")&lt;2),"",SQRT((SUMIF(Vluchtlog!$E$5:$E$54,A14,Vluchtlog!$U$5:$U$54)-SUMIF(Vluchtlog!$E$5:$E$54,A14,Vluchtlog!$O$5:$O$54)^2/COUNTIFS(Vluchtlog!$E$5:$E$54,A14,Vluchtlog!$O$5:$O$54,"&lt;&gt;"))/(COUNTIFS(Vluchtlog!$E$5:$E$54,A14,Vluchtlog!$O$5:$O$54,"&lt;&gt;")-1)))</f>
        <v/>
      </c>
      <c r="D14" s="13" t="str">
        <f aca="false">IF(A14="","",COUNTIFS(Vluchtlog!$E$5:$E$54,A14,Vluchtlog!$O$5:$O$54,"&lt;&gt;"))</f>
        <v/>
      </c>
      <c r="E14" s="12" t="str">
        <f aca="false">IF(A14="","",IFERROR(minifs(Vluchtlog!$O$5:$O$54,Vluchtlog!$E$5:$E$54,A14),""))</f>
        <v/>
      </c>
      <c r="F14" s="12" t="str">
        <f aca="false">IF(A14="","",IFERROR(maxifs(Vluchtlog!$O$5:$O$54,Vluchtlog!$E$5:$E$54,A14),""))</f>
        <v/>
      </c>
    </row>
    <row r="15" customFormat="false" ht="15" hidden="false" customHeight="false" outlineLevel="0" collapsed="false">
      <c r="A15" s="8"/>
      <c r="B15" s="12" t="str">
        <f aca="false">IF(A15="","",IFERROR(SUMIF(Vluchtlog!$E$5:$E$54,A15,Vluchtlog!$O$5:$O$54)/COUNTIFS(Vluchtlog!$E$5:$E$54,A15,Vluchtlog!$O$5:$O$54,"&lt;&gt;"),""))</f>
        <v/>
      </c>
      <c r="C15" s="12" t="str">
        <f aca="false">IF(OR(A15="",COUNTIFS(Vluchtlog!$E$5:$E$54,A15,Vluchtlog!$O$5:$O$54,"&lt;&gt;")&lt;2),"",SQRT((SUMIF(Vluchtlog!$E$5:$E$54,A15,Vluchtlog!$U$5:$U$54)-SUMIF(Vluchtlog!$E$5:$E$54,A15,Vluchtlog!$O$5:$O$54)^2/COUNTIFS(Vluchtlog!$E$5:$E$54,A15,Vluchtlog!$O$5:$O$54,"&lt;&gt;"))/(COUNTIFS(Vluchtlog!$E$5:$E$54,A15,Vluchtlog!$O$5:$O$54,"&lt;&gt;")-1)))</f>
        <v/>
      </c>
      <c r="D15" s="13" t="str">
        <f aca="false">IF(A15="","",COUNTIFS(Vluchtlog!$E$5:$E$54,A15,Vluchtlog!$O$5:$O$54,"&lt;&gt;"))</f>
        <v/>
      </c>
      <c r="E15" s="12" t="str">
        <f aca="false">IF(A15="","",IFERROR(minifs(Vluchtlog!$O$5:$O$54,Vluchtlog!$E$5:$E$54,A15),""))</f>
        <v/>
      </c>
      <c r="F15" s="12" t="str">
        <f aca="false">IF(A15="","",IFERROR(maxifs(Vluchtlog!$O$5:$O$54,Vluchtlog!$E$5:$E$54,A15),""))</f>
        <v/>
      </c>
    </row>
    <row r="16" customFormat="false" ht="15" hidden="false" customHeight="false" outlineLevel="0" collapsed="false">
      <c r="A16" s="8"/>
      <c r="B16" s="12" t="str">
        <f aca="false">IF(A16="","",IFERROR(SUMIF(Vluchtlog!$E$5:$E$54,A16,Vluchtlog!$O$5:$O$54)/COUNTIFS(Vluchtlog!$E$5:$E$54,A16,Vluchtlog!$O$5:$O$54,"&lt;&gt;"),""))</f>
        <v/>
      </c>
      <c r="C16" s="12" t="str">
        <f aca="false">IF(OR(A16="",COUNTIFS(Vluchtlog!$E$5:$E$54,A16,Vluchtlog!$O$5:$O$54,"&lt;&gt;")&lt;2),"",SQRT((SUMIF(Vluchtlog!$E$5:$E$54,A16,Vluchtlog!$U$5:$U$54)-SUMIF(Vluchtlog!$E$5:$E$54,A16,Vluchtlog!$O$5:$O$54)^2/COUNTIFS(Vluchtlog!$E$5:$E$54,A16,Vluchtlog!$O$5:$O$54,"&lt;&gt;"))/(COUNTIFS(Vluchtlog!$E$5:$E$54,A16,Vluchtlog!$O$5:$O$54,"&lt;&gt;")-1)))</f>
        <v/>
      </c>
      <c r="D16" s="13" t="str">
        <f aca="false">IF(A16="","",COUNTIFS(Vluchtlog!$E$5:$E$54,A16,Vluchtlog!$O$5:$O$54,"&lt;&gt;"))</f>
        <v/>
      </c>
      <c r="E16" s="12" t="str">
        <f aca="false">IF(A16="","",IFERROR(minifs(Vluchtlog!$O$5:$O$54,Vluchtlog!$E$5:$E$54,A16),""))</f>
        <v/>
      </c>
      <c r="F16" s="12" t="str">
        <f aca="false">IF(A16="","",IFERROR(maxifs(Vluchtlog!$O$5:$O$54,Vluchtlog!$E$5:$E$54,A16),""))</f>
        <v/>
      </c>
    </row>
    <row r="17" customFormat="false" ht="15" hidden="false" customHeight="false" outlineLevel="0" collapsed="false">
      <c r="A17" s="8"/>
      <c r="B17" s="12" t="str">
        <f aca="false">IF(A17="","",IFERROR(SUMIF(Vluchtlog!$E$5:$E$54,A17,Vluchtlog!$O$5:$O$54)/COUNTIFS(Vluchtlog!$E$5:$E$54,A17,Vluchtlog!$O$5:$O$54,"&lt;&gt;"),""))</f>
        <v/>
      </c>
      <c r="C17" s="12" t="str">
        <f aca="false">IF(OR(A17="",COUNTIFS(Vluchtlog!$E$5:$E$54,A17,Vluchtlog!$O$5:$O$54,"&lt;&gt;")&lt;2),"",SQRT((SUMIF(Vluchtlog!$E$5:$E$54,A17,Vluchtlog!$U$5:$U$54)-SUMIF(Vluchtlog!$E$5:$E$54,A17,Vluchtlog!$O$5:$O$54)^2/COUNTIFS(Vluchtlog!$E$5:$E$54,A17,Vluchtlog!$O$5:$O$54,"&lt;&gt;"))/(COUNTIFS(Vluchtlog!$E$5:$E$54,A17,Vluchtlog!$O$5:$O$54,"&lt;&gt;")-1)))</f>
        <v/>
      </c>
      <c r="D17" s="13" t="str">
        <f aca="false">IF(A17="","",COUNTIFS(Vluchtlog!$E$5:$E$54,A17,Vluchtlog!$O$5:$O$54,"&lt;&gt;"))</f>
        <v/>
      </c>
      <c r="E17" s="12" t="str">
        <f aca="false">IF(A17="","",IFERROR(minifs(Vluchtlog!$O$5:$O$54,Vluchtlog!$E$5:$E$54,A17),""))</f>
        <v/>
      </c>
      <c r="F17" s="12" t="str">
        <f aca="false">IF(A17="","",IFERROR(maxifs(Vluchtlog!$O$5:$O$54,Vluchtlog!$E$5:$E$54,A17),""))</f>
        <v/>
      </c>
    </row>
    <row r="18" customFormat="false" ht="15" hidden="false" customHeight="false" outlineLevel="0" collapsed="false">
      <c r="A18" s="8"/>
      <c r="B18" s="12" t="str">
        <f aca="false">IF(A18="","",IFERROR(SUMIF(Vluchtlog!$E$5:$E$54,A18,Vluchtlog!$O$5:$O$54)/COUNTIFS(Vluchtlog!$E$5:$E$54,A18,Vluchtlog!$O$5:$O$54,"&lt;&gt;"),""))</f>
        <v/>
      </c>
      <c r="C18" s="12" t="str">
        <f aca="false">IF(OR(A18="",COUNTIFS(Vluchtlog!$E$5:$E$54,A18,Vluchtlog!$O$5:$O$54,"&lt;&gt;")&lt;2),"",SQRT((SUMIF(Vluchtlog!$E$5:$E$54,A18,Vluchtlog!$U$5:$U$54)-SUMIF(Vluchtlog!$E$5:$E$54,A18,Vluchtlog!$O$5:$O$54)^2/COUNTIFS(Vluchtlog!$E$5:$E$54,A18,Vluchtlog!$O$5:$O$54,"&lt;&gt;"))/(COUNTIFS(Vluchtlog!$E$5:$E$54,A18,Vluchtlog!$O$5:$O$54,"&lt;&gt;")-1)))</f>
        <v/>
      </c>
      <c r="D18" s="13" t="str">
        <f aca="false">IF(A18="","",COUNTIFS(Vluchtlog!$E$5:$E$54,A18,Vluchtlog!$O$5:$O$54,"&lt;&gt;"))</f>
        <v/>
      </c>
      <c r="E18" s="12" t="str">
        <f aca="false">IF(A18="","",IFERROR(minifs(Vluchtlog!$O$5:$O$54,Vluchtlog!$E$5:$E$54,A18),""))</f>
        <v/>
      </c>
      <c r="F18" s="12" t="str">
        <f aca="false">IF(A18="","",IFERROR(maxifs(Vluchtlog!$O$5:$O$54,Vluchtlog!$E$5:$E$54,A18),""))</f>
        <v/>
      </c>
    </row>
    <row r="19" customFormat="false" ht="15" hidden="false" customHeight="false" outlineLevel="0" collapsed="false">
      <c r="A19" s="8"/>
      <c r="B19" s="12" t="str">
        <f aca="false">IF(A19="","",IFERROR(SUMIF(Vluchtlog!$E$5:$E$54,A19,Vluchtlog!$O$5:$O$54)/COUNTIFS(Vluchtlog!$E$5:$E$54,A19,Vluchtlog!$O$5:$O$54,"&lt;&gt;"),""))</f>
        <v/>
      </c>
      <c r="C19" s="12" t="str">
        <f aca="false">IF(OR(A19="",COUNTIFS(Vluchtlog!$E$5:$E$54,A19,Vluchtlog!$O$5:$O$54,"&lt;&gt;")&lt;2),"",SQRT((SUMIF(Vluchtlog!$E$5:$E$54,A19,Vluchtlog!$U$5:$U$54)-SUMIF(Vluchtlog!$E$5:$E$54,A19,Vluchtlog!$O$5:$O$54)^2/COUNTIFS(Vluchtlog!$E$5:$E$54,A19,Vluchtlog!$O$5:$O$54,"&lt;&gt;"))/(COUNTIFS(Vluchtlog!$E$5:$E$54,A19,Vluchtlog!$O$5:$O$54,"&lt;&gt;")-1)))</f>
        <v/>
      </c>
      <c r="D19" s="13" t="str">
        <f aca="false">IF(A19="","",COUNTIFS(Vluchtlog!$E$5:$E$54,A19,Vluchtlog!$O$5:$O$54,"&lt;&gt;"))</f>
        <v/>
      </c>
      <c r="E19" s="12" t="str">
        <f aca="false">IF(A19="","",IFERROR(minifs(Vluchtlog!$O$5:$O$54,Vluchtlog!$E$5:$E$54,A19),""))</f>
        <v/>
      </c>
      <c r="F19" s="12" t="str">
        <f aca="false">IF(A19="","",IFERROR(maxifs(Vluchtlog!$O$5:$O$54,Vluchtlog!$E$5:$E$54,A19),""))</f>
        <v/>
      </c>
    </row>
    <row r="20" customFormat="false" ht="15" hidden="false" customHeight="false" outlineLevel="0" collapsed="false">
      <c r="A20" s="8"/>
      <c r="B20" s="12" t="str">
        <f aca="false">IF(A20="","",IFERROR(SUMIF(Vluchtlog!$E$5:$E$54,A20,Vluchtlog!$O$5:$O$54)/COUNTIFS(Vluchtlog!$E$5:$E$54,A20,Vluchtlog!$O$5:$O$54,"&lt;&gt;"),""))</f>
        <v/>
      </c>
      <c r="C20" s="12" t="str">
        <f aca="false">IF(OR(A20="",COUNTIFS(Vluchtlog!$E$5:$E$54,A20,Vluchtlog!$O$5:$O$54,"&lt;&gt;")&lt;2),"",SQRT((SUMIF(Vluchtlog!$E$5:$E$54,A20,Vluchtlog!$U$5:$U$54)-SUMIF(Vluchtlog!$E$5:$E$54,A20,Vluchtlog!$O$5:$O$54)^2/COUNTIFS(Vluchtlog!$E$5:$E$54,A20,Vluchtlog!$O$5:$O$54,"&lt;&gt;"))/(COUNTIFS(Vluchtlog!$E$5:$E$54,A20,Vluchtlog!$O$5:$O$54,"&lt;&gt;")-1)))</f>
        <v/>
      </c>
      <c r="D20" s="13" t="str">
        <f aca="false">IF(A20="","",COUNTIFS(Vluchtlog!$E$5:$E$54,A20,Vluchtlog!$O$5:$O$54,"&lt;&gt;"))</f>
        <v/>
      </c>
      <c r="E20" s="12" t="str">
        <f aca="false">IF(A20="","",IFERROR(minifs(Vluchtlog!$O$5:$O$54,Vluchtlog!$E$5:$E$54,A20),""))</f>
        <v/>
      </c>
      <c r="F20" s="12" t="str">
        <f aca="false">IF(A20="","",IFERROR(maxifs(Vluchtlog!$O$5:$O$54,Vluchtlog!$E$5:$E$54,A20),""))</f>
        <v/>
      </c>
    </row>
    <row r="21" customFormat="false" ht="15" hidden="false" customHeight="false" outlineLevel="0" collapsed="false">
      <c r="A21" s="8"/>
      <c r="B21" s="12" t="str">
        <f aca="false">IF(A21="","",IFERROR(SUMIF(Vluchtlog!$E$5:$E$54,A21,Vluchtlog!$O$5:$O$54)/COUNTIFS(Vluchtlog!$E$5:$E$54,A21,Vluchtlog!$O$5:$O$54,"&lt;&gt;"),""))</f>
        <v/>
      </c>
      <c r="C21" s="12" t="str">
        <f aca="false">IF(OR(A21="",COUNTIFS(Vluchtlog!$E$5:$E$54,A21,Vluchtlog!$O$5:$O$54,"&lt;&gt;")&lt;2),"",SQRT((SUMIF(Vluchtlog!$E$5:$E$54,A21,Vluchtlog!$U$5:$U$54)-SUMIF(Vluchtlog!$E$5:$E$54,A21,Vluchtlog!$O$5:$O$54)^2/COUNTIFS(Vluchtlog!$E$5:$E$54,A21,Vluchtlog!$O$5:$O$54,"&lt;&gt;"))/(COUNTIFS(Vluchtlog!$E$5:$E$54,A21,Vluchtlog!$O$5:$O$54,"&lt;&gt;")-1)))</f>
        <v/>
      </c>
      <c r="D21" s="13" t="str">
        <f aca="false">IF(A21="","",COUNTIFS(Vluchtlog!$E$5:$E$54,A21,Vluchtlog!$O$5:$O$54,"&lt;&gt;"))</f>
        <v/>
      </c>
      <c r="E21" s="12" t="str">
        <f aca="false">IF(A21="","",IFERROR(minifs(Vluchtlog!$O$5:$O$54,Vluchtlog!$E$5:$E$54,A21),""))</f>
        <v/>
      </c>
      <c r="F21" s="12" t="str">
        <f aca="false">IF(A21="","",IFERROR(maxifs(Vluchtlog!$O$5:$O$54,Vluchtlog!$E$5:$E$54,A21),""))</f>
        <v/>
      </c>
    </row>
    <row r="22" customFormat="false" ht="15" hidden="false" customHeight="false" outlineLevel="0" collapsed="false">
      <c r="A22" s="8"/>
      <c r="B22" s="12" t="str">
        <f aca="false">IF(A22="","",IFERROR(SUMIF(Vluchtlog!$E$5:$E$54,A22,Vluchtlog!$O$5:$O$54)/COUNTIFS(Vluchtlog!$E$5:$E$54,A22,Vluchtlog!$O$5:$O$54,"&lt;&gt;"),""))</f>
        <v/>
      </c>
      <c r="C22" s="12" t="str">
        <f aca="false">IF(OR(A22="",COUNTIFS(Vluchtlog!$E$5:$E$54,A22,Vluchtlog!$O$5:$O$54,"&lt;&gt;")&lt;2),"",SQRT((SUMIF(Vluchtlog!$E$5:$E$54,A22,Vluchtlog!$U$5:$U$54)-SUMIF(Vluchtlog!$E$5:$E$54,A22,Vluchtlog!$O$5:$O$54)^2/COUNTIFS(Vluchtlog!$E$5:$E$54,A22,Vluchtlog!$O$5:$O$54,"&lt;&gt;"))/(COUNTIFS(Vluchtlog!$E$5:$E$54,A22,Vluchtlog!$O$5:$O$54,"&lt;&gt;")-1)))</f>
        <v/>
      </c>
      <c r="D22" s="13" t="str">
        <f aca="false">IF(A22="","",COUNTIFS(Vluchtlog!$E$5:$E$54,A22,Vluchtlog!$O$5:$O$54,"&lt;&gt;"))</f>
        <v/>
      </c>
      <c r="E22" s="12" t="str">
        <f aca="false">IF(A22="","",IFERROR(minifs(Vluchtlog!$O$5:$O$54,Vluchtlog!$E$5:$E$54,A22),""))</f>
        <v/>
      </c>
      <c r="F22" s="12" t="str">
        <f aca="false">IF(A22="","",IFERROR(maxifs(Vluchtlog!$O$5:$O$54,Vluchtlog!$E$5:$E$54,A22),""))</f>
        <v/>
      </c>
    </row>
    <row r="23" customFormat="false" ht="15" hidden="false" customHeight="false" outlineLevel="0" collapsed="false">
      <c r="A23" s="8"/>
      <c r="B23" s="12" t="str">
        <f aca="false">IF(A23="","",IFERROR(SUMIF(Vluchtlog!$E$5:$E$54,A23,Vluchtlog!$O$5:$O$54)/COUNTIFS(Vluchtlog!$E$5:$E$54,A23,Vluchtlog!$O$5:$O$54,"&lt;&gt;"),""))</f>
        <v/>
      </c>
      <c r="C23" s="12" t="str">
        <f aca="false">IF(OR(A23="",COUNTIFS(Vluchtlog!$E$5:$E$54,A23,Vluchtlog!$O$5:$O$54,"&lt;&gt;")&lt;2),"",SQRT((SUMIF(Vluchtlog!$E$5:$E$54,A23,Vluchtlog!$U$5:$U$54)-SUMIF(Vluchtlog!$E$5:$E$54,A23,Vluchtlog!$O$5:$O$54)^2/COUNTIFS(Vluchtlog!$E$5:$E$54,A23,Vluchtlog!$O$5:$O$54,"&lt;&gt;"))/(COUNTIFS(Vluchtlog!$E$5:$E$54,A23,Vluchtlog!$O$5:$O$54,"&lt;&gt;")-1)))</f>
        <v/>
      </c>
      <c r="D23" s="13" t="str">
        <f aca="false">IF(A23="","",COUNTIFS(Vluchtlog!$E$5:$E$54,A23,Vluchtlog!$O$5:$O$54,"&lt;&gt;"))</f>
        <v/>
      </c>
      <c r="E23" s="12" t="str">
        <f aca="false">IF(A23="","",IFERROR(minifs(Vluchtlog!$O$5:$O$54,Vluchtlog!$E$5:$E$54,A23),""))</f>
        <v/>
      </c>
      <c r="F23" s="12" t="str">
        <f aca="false">IF(A23="","",IFERROR(maxifs(Vluchtlog!$O$5:$O$54,Vluchtlog!$E$5:$E$54,A23),""))</f>
        <v/>
      </c>
    </row>
    <row r="24" customFormat="false" ht="15" hidden="false" customHeight="false" outlineLevel="0" collapsed="false">
      <c r="A24" s="8"/>
      <c r="B24" s="12" t="str">
        <f aca="false">IF(A24="","",IFERROR(SUMIF(Vluchtlog!$E$5:$E$54,A24,Vluchtlog!$O$5:$O$54)/COUNTIFS(Vluchtlog!$E$5:$E$54,A24,Vluchtlog!$O$5:$O$54,"&lt;&gt;"),""))</f>
        <v/>
      </c>
      <c r="C24" s="12" t="str">
        <f aca="false">IF(OR(A24="",COUNTIFS(Vluchtlog!$E$5:$E$54,A24,Vluchtlog!$O$5:$O$54,"&lt;&gt;")&lt;2),"",SQRT((SUMIF(Vluchtlog!$E$5:$E$54,A24,Vluchtlog!$U$5:$U$54)-SUMIF(Vluchtlog!$E$5:$E$54,A24,Vluchtlog!$O$5:$O$54)^2/COUNTIFS(Vluchtlog!$E$5:$E$54,A24,Vluchtlog!$O$5:$O$54,"&lt;&gt;"))/(COUNTIFS(Vluchtlog!$E$5:$E$54,A24,Vluchtlog!$O$5:$O$54,"&lt;&gt;")-1)))</f>
        <v/>
      </c>
      <c r="D24" s="13" t="str">
        <f aca="false">IF(A24="","",COUNTIFS(Vluchtlog!$E$5:$E$54,A24,Vluchtlog!$O$5:$O$54,"&lt;&gt;"))</f>
        <v/>
      </c>
      <c r="E24" s="12" t="str">
        <f aca="false">IF(A24="","",IFERROR(minifs(Vluchtlog!$O$5:$O$54,Vluchtlog!$E$5:$E$54,A24),""))</f>
        <v/>
      </c>
      <c r="F24" s="12" t="str">
        <f aca="false">IF(A24="","",IFERROR(maxifs(Vluchtlog!$O$5:$O$54,Vluchtlog!$E$5:$E$54,A24),""))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2026-06-08T06:17:52Z</dcterms:created>
  <dc:creator>openpyxl</dc:creator>
  <dc:description/>
  <dc:language>en-US</dc:language>
  <cp:lastModifiedBy/>
  <dcterms:modified xsi:type="dcterms:W3CDTF">2026-06-08T06:17:52Z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